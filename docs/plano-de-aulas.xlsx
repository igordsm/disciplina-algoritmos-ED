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2026-1" sheetId="1" state="visible" r:id="rId1"/>
    <sheet name="2025-2" sheetId="2" state="visible" r:id="rId2"/>
    <sheet name="2025-1" sheetId="3" state="visible" r:id="rId3"/>
    <sheet name="2024-2" sheetId="4" state="visible" r:id="rId4"/>
    <sheet name="2024-2-original" sheetId="5" state="visible" r:id="rId5"/>
    <sheet name="Sheet1 (2)_2" sheetId="6" state="visible" r:id="rId6"/>
    <sheet name="Sheet1" sheetId="7" state="visible" r:id="rId7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<sst xmlns="http://schemas.openxmlformats.org/spreadsheetml/2006/main" count="94" uniqueCount="94">
  <si>
    <t>Data</t>
  </si>
  <si>
    <t>Módulo</t>
  </si>
  <si>
    <t>Tema</t>
  </si>
  <si>
    <t xml:space="preserve">Atividade Aluno</t>
  </si>
  <si>
    <t xml:space="preserve">Programação em C</t>
  </si>
  <si>
    <t xml:space="preserve">Mutirão C</t>
  </si>
  <si>
    <t xml:space="preserve">Exercícios no prairielearn (ref Kochan Caps 1 a 5)</t>
  </si>
  <si>
    <t xml:space="preserve">Exercícios no prairielearn (ref Kochan Caps 6e 10)</t>
  </si>
  <si>
    <t>feriado</t>
  </si>
  <si>
    <t xml:space="preserve">Exercícios no prairielearn (ref Kochan caps 8)</t>
  </si>
  <si>
    <t xml:space="preserve">Alocação de Memória Dinâmica + ADT</t>
  </si>
  <si>
    <t xml:space="preserve">Alunos implementam estrutura de dados simples para alocar matriz e acessar elementos (ref Kochan cap 16)</t>
  </si>
  <si>
    <t xml:space="preserve">Árvore Binária de Busca</t>
  </si>
  <si>
    <t xml:space="preserve">Introdução à árvores de busca binárias</t>
  </si>
  <si>
    <t xml:space="preserve">Exercícios de simulação para introdução de árvores (ref Feofiloff cap 14)</t>
  </si>
  <si>
    <t xml:space="preserve">Definição , inserção, visitação</t>
  </si>
  <si>
    <t xml:space="preserve">implementações + atividades teóricas (ref Feofiloff cap 14)</t>
  </si>
  <si>
    <t xml:space="preserve">balancear árvore torta (ordem ótima de inserção)</t>
  </si>
  <si>
    <t xml:space="preserve">implementações + atividades teóricas (ref Feofiloff cap 15 e Cormen cap 12)</t>
  </si>
  <si>
    <t xml:space="preserve">Rotações e remoção</t>
  </si>
  <si>
    <t xml:space="preserve">implementações + atividades teóricas (ref Feofiloff cap 15)</t>
  </si>
  <si>
    <t>PI</t>
  </si>
  <si>
    <t xml:space="preserve">Intro a Grafos: ADT, componentes e ciclos</t>
  </si>
  <si>
    <t xml:space="preserve">Introdução a Grafos </t>
  </si>
  <si>
    <t xml:space="preserve">Definições básicas de grafos: vértices, arestas, grau, ciclos e componentes. (ref Cormen cap 22.1)</t>
  </si>
  <si>
    <t xml:space="preserve">Aluno usa ADT matriz ligada para representar grafo e cria alguns grafos manualmente usando a ADT. Aluno cria matrizes de adjacências a partir de um desenho de um grafo (ref Cormen cap 22.1)</t>
  </si>
  <si>
    <t xml:space="preserve">Componentes Conexos, ciclos</t>
  </si>
  <si>
    <t xml:space="preserve">Aluno implementa DFS para encontrar componentes conexos e ciclos.  (ref Cormen 22.3)</t>
  </si>
  <si>
    <t xml:space="preserve">Aluno implementa DFS para encontrar componentes conexos e ciclos. (ref Cormen 22.3)</t>
  </si>
  <si>
    <t>Caminhos</t>
  </si>
  <si>
    <t>BFS</t>
  </si>
  <si>
    <t xml:space="preserve">BFS + Fila (ref Cormen 22.2)</t>
  </si>
  <si>
    <t xml:space="preserve">BFS + Fila (ref Cormen 10.1)</t>
  </si>
  <si>
    <t xml:space="preserve">Grafos com pesos: Dijkstra e caminhos mínimos</t>
  </si>
  <si>
    <t xml:space="preserve">Simulação do algoritmo + implementação da ADT min-heap (ref Cormen 24.3)</t>
  </si>
  <si>
    <t>PF</t>
  </si>
  <si>
    <t xml:space="preserve">Atividades com Ninja para suprir esse gap</t>
  </si>
  <si>
    <t>QUIZ</t>
  </si>
  <si>
    <t xml:space="preserve">Revisão Geral</t>
  </si>
  <si>
    <t xml:space="preserve">Problemas leetcode para revisão</t>
  </si>
  <si>
    <t xml:space="preserve">Avaliação docente + revisão pra prova + montar folha de consulta</t>
  </si>
  <si>
    <t xml:space="preserve">Aula de exercícios</t>
  </si>
  <si>
    <t xml:space="preserve">AULA CANCELADA - LUTO</t>
  </si>
  <si>
    <t xml:space="preserve">VIAGEM SIGCSE</t>
  </si>
  <si>
    <t>CARNAVAL</t>
  </si>
  <si>
    <t xml:space="preserve">Atendimentos extras com ninjas vão aqui</t>
  </si>
  <si>
    <t>REPOSIÇÃO</t>
  </si>
  <si>
    <t xml:space="preserve">Ordenação topológica</t>
  </si>
  <si>
    <t xml:space="preserve">Problema 1: compilação de projetos (ref Cormen 22.4)</t>
  </si>
  <si>
    <t>FERIADO</t>
  </si>
  <si>
    <t xml:space="preserve">Avaliação docente + revisão pra prova + montar folha de consultao</t>
  </si>
  <si>
    <t>publicado</t>
  </si>
  <si>
    <t>Grafos</t>
  </si>
  <si>
    <t xml:space="preserve">aula estúdio (exercícios de busca em largura)</t>
  </si>
  <si>
    <t xml:space="preserve">aula estúdio (exercícios de código de caminhos mínimos)</t>
  </si>
  <si>
    <t>Reformular</t>
  </si>
  <si>
    <t xml:space="preserve">Revisão pós-prova</t>
  </si>
  <si>
    <t xml:space="preserve">Comentários sobre os exercícios + introdução do próximo assunto. </t>
  </si>
  <si>
    <t xml:space="preserve">Refazer testes</t>
  </si>
  <si>
    <t xml:space="preserve">Exercícios no prairielearn</t>
  </si>
  <si>
    <t xml:space="preserve">Alunos implementam estrutura de dados simples para alocar matriz e acessar elementos</t>
  </si>
  <si>
    <t>Feriado</t>
  </si>
  <si>
    <t xml:space="preserve">Exercícios de simulação para introdução de árvores</t>
  </si>
  <si>
    <t xml:space="preserve">implementações + atividades teóricas</t>
  </si>
  <si>
    <t xml:space="preserve">aula estúdio</t>
  </si>
  <si>
    <t xml:space="preserve">balancear árvore torta</t>
  </si>
  <si>
    <t xml:space="preserve">Aluno usa ADT matriz para representar grafo e cria alguns grafos manualmente usando a ADT</t>
  </si>
  <si>
    <t xml:space="preserve">Revisão para prova</t>
  </si>
  <si>
    <t xml:space="preserve">revisão pra prova + montar folha de consulta</t>
  </si>
  <si>
    <t xml:space="preserve">Aluno implementa DFS para encontrar componentes conexos e ciclos. </t>
  </si>
  <si>
    <t xml:space="preserve">Problema 1: compilação de projetos</t>
  </si>
  <si>
    <t xml:space="preserve">ADT Fila</t>
  </si>
  <si>
    <t xml:space="preserve">Simulação do algoritmo + implementação da ADT min-heap</t>
  </si>
  <si>
    <t xml:space="preserve">All pairs / SSSP (falar sobre programação dinâmica)</t>
  </si>
  <si>
    <t xml:space="preserve">Extra Grafos</t>
  </si>
  <si>
    <t xml:space="preserve">Grafos esparsos: listas de adjacências usando listas ligadas</t>
  </si>
  <si>
    <t xml:space="preserve">implementação de lista ligada</t>
  </si>
  <si>
    <t xml:space="preserve"> </t>
  </si>
  <si>
    <t xml:space="preserve">Intro a Árvores</t>
  </si>
  <si>
    <t xml:space="preserve">Array associativo e árvores binárias</t>
  </si>
  <si>
    <t xml:space="preserve">ordens de visitação e rotações</t>
  </si>
  <si>
    <t xml:space="preserve">Inserção e remoção</t>
  </si>
  <si>
    <t xml:space="preserve">binária "normal"</t>
  </si>
  <si>
    <t>Balanceamento</t>
  </si>
  <si>
    <t xml:space="preserve">AVL 1 inserção</t>
  </si>
  <si>
    <t xml:space="preserve">árvores balanceadas</t>
  </si>
  <si>
    <t xml:space="preserve">AVL 2 remoção</t>
  </si>
  <si>
    <t xml:space="preserve">Árvores de prefixo</t>
  </si>
  <si>
    <t xml:space="preserve">Problema 4: auto complete</t>
  </si>
  <si>
    <t xml:space="preserve">aula buffer 1</t>
  </si>
  <si>
    <t xml:space="preserve">exemplos na lousa + simulações + debug</t>
  </si>
  <si>
    <t xml:space="preserve">20 aulas</t>
  </si>
  <si>
    <t xml:space="preserve">para preparar</t>
  </si>
  <si>
    <t xml:space="preserve">mutirão deve ser revisado, mas não por mim?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</si>
</sst>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</font>
    <font>
      <sz val="10.000000"/>
      <name val="Arial"/>
    </font>
    <font>
      <sz val="11.000000"/>
      <color theme="0" tint="0"/>
      <name val="Calibri"/>
    </font>
    <font>
      <sz val="11.000000"/>
      <color indexed="65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F6F9D4"/>
        <bgColor rgb="FFE2F0D9"/>
      </patternFill>
    </fill>
    <fill>
      <patternFill patternType="solid">
        <fgColor rgb="FFC00000"/>
        <bgColor rgb="FFC00000"/>
      </patternFill>
    </fill>
    <fill>
      <patternFill patternType="solid">
        <fgColor rgb="FFDEDCE6"/>
        <bgColor rgb="FFE2F0D9"/>
      </patternFill>
    </fill>
    <fill>
      <patternFill patternType="solid">
        <fgColor rgb="FFFF9999"/>
        <bgColor indexed="29"/>
      </patternFill>
    </fill>
    <fill>
      <patternFill patternType="solid">
        <fgColor rgb="FF5B277D"/>
        <bgColor indexed="28"/>
      </patternFill>
    </fill>
    <fill>
      <patternFill patternType="solid">
        <fgColor indexed="2"/>
        <bgColor indexed="60"/>
      </patternFill>
    </fill>
    <fill>
      <patternFill patternType="solid">
        <fgColor rgb="FFBBE33D"/>
        <bgColor rgb="FFFFFF38"/>
      </patternFill>
    </fill>
    <fill>
      <patternFill patternType="solid">
        <fgColor rgb="FF729FCF"/>
        <bgColor indexed="55"/>
      </patternFill>
    </fill>
    <fill>
      <patternFill patternType="solid">
        <fgColor rgb="FFFFFF38"/>
        <bgColor indexed="5"/>
      </patternFill>
    </fill>
    <fill>
      <patternFill patternType="solid">
        <fgColor theme="9" tint="0.79990000000000006"/>
        <bgColor rgb="FFF6F9D4"/>
      </patternFill>
    </fill>
    <fill>
      <patternFill patternType="solid">
        <fgColor rgb="FFDE8CFF"/>
        <bgColor rgb="FFFF9999"/>
      </patternFill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33">
    <xf fontId="0" fillId="0" borderId="0" numFmtId="0" xfId="0" applyProtection="0">
      <protection hidden="0" locked="1"/>
    </xf>
    <xf fontId="0" fillId="0" borderId="0" numFmtId="0" xfId="0" applyProtection="1">
      <protection hidden="0" locked="1"/>
    </xf>
    <xf fontId="0" fillId="0" borderId="0" numFmtId="0" xfId="0" applyAlignment="1" applyProtection="1">
      <alignment vertical="center" wrapText="1"/>
      <protection hidden="0" locked="1"/>
    </xf>
    <xf fontId="0" fillId="0" borderId="0" numFmtId="14" xfId="0" applyNumberFormat="1" applyAlignment="1" applyProtection="1">
      <alignment horizontal="left" vertical="center"/>
      <protection hidden="0" locked="1"/>
    </xf>
    <xf fontId="0" fillId="2" borderId="0" numFmtId="14" xfId="0" applyNumberFormat="1" applyFill="1" applyAlignment="1" applyProtection="1">
      <alignment vertical="center" wrapText="1"/>
      <protection hidden="0" locked="1"/>
    </xf>
    <xf fontId="0" fillId="2" borderId="0" numFmtId="0" xfId="0" applyFill="1" applyAlignment="1" applyProtection="1">
      <alignment vertical="center" wrapText="1"/>
      <protection hidden="0" locked="1"/>
    </xf>
    <xf fontId="2" fillId="3" borderId="0" numFmtId="0" xfId="0" applyFont="1" applyFill="1" applyAlignment="1" applyProtection="0">
      <alignment horizontal="center" vertical="center"/>
      <protection hidden="0" locked="1"/>
    </xf>
    <xf fontId="0" fillId="0" borderId="0" numFmtId="14" xfId="0" applyNumberFormat="1" applyProtection="1">
      <protection hidden="0" locked="1"/>
    </xf>
    <xf fontId="0" fillId="4" borderId="0" numFmtId="14" xfId="0" applyNumberFormat="1" applyFill="1" applyAlignment="1" applyProtection="1">
      <alignment vertical="center" wrapText="1"/>
      <protection hidden="0" locked="1"/>
    </xf>
    <xf fontId="0" fillId="4" borderId="0" numFmtId="0" xfId="0" applyFill="1" applyAlignment="1" applyProtection="1">
      <alignment vertical="center" wrapText="1"/>
      <protection hidden="0" locked="1"/>
    </xf>
    <xf fontId="0" fillId="5" borderId="0" numFmtId="0" xfId="0" applyFill="1" applyAlignment="1" applyProtection="1">
      <alignment horizontal="center" vertical="center" wrapText="1"/>
      <protection hidden="0" locked="1"/>
    </xf>
    <xf fontId="0" fillId="2" borderId="0" numFmtId="14" xfId="0" applyNumberFormat="1" applyFill="1" applyAlignment="1" applyProtection="1">
      <alignment vertical="center" wrapText="1"/>
      <protection hidden="0" locked="1"/>
    </xf>
    <xf fontId="0" fillId="2" borderId="0" numFmtId="0" xfId="0" applyFill="1" applyAlignment="1" applyProtection="0">
      <alignment vertical="center" wrapText="1"/>
      <protection hidden="0" locked="1"/>
    </xf>
    <xf fontId="3" fillId="6" borderId="0" numFmtId="0" xfId="0" applyFont="1" applyFill="1" applyAlignment="1" applyProtection="1">
      <alignment horizontal="center" vertical="center"/>
      <protection hidden="0" locked="1"/>
    </xf>
    <xf fontId="0" fillId="0" borderId="0" numFmtId="0" xfId="0" applyAlignment="1" applyProtection="1">
      <alignment horizontal="center" vertical="center"/>
      <protection hidden="0" locked="1"/>
    </xf>
    <xf fontId="0" fillId="5" borderId="0" numFmtId="0" xfId="0" applyFill="1" applyAlignment="1" applyProtection="1">
      <alignment vertical="center" wrapText="1"/>
      <protection hidden="0" locked="1"/>
    </xf>
    <xf fontId="0" fillId="7" borderId="0" numFmtId="14" xfId="0" applyNumberFormat="1" applyFill="1" applyAlignment="1" applyProtection="1">
      <alignment horizontal="left" vertical="center"/>
      <protection hidden="0" locked="1"/>
    </xf>
    <xf fontId="0" fillId="8" borderId="0" numFmtId="0" xfId="0" applyFill="1" applyProtection="1">
      <protection hidden="0" locked="1"/>
    </xf>
    <xf fontId="0" fillId="5" borderId="0" numFmtId="14" xfId="0" applyNumberFormat="1" applyFill="1" applyAlignment="1" applyProtection="1">
      <alignment vertical="center" wrapText="1"/>
      <protection hidden="0" locked="1"/>
    </xf>
    <xf fontId="0" fillId="7" borderId="0" numFmtId="0" xfId="0" applyFill="1" applyProtection="1">
      <protection hidden="0" locked="1"/>
    </xf>
    <xf fontId="0" fillId="9" borderId="0" numFmtId="0" xfId="0" applyFill="1" applyProtection="1">
      <protection hidden="0" locked="1"/>
    </xf>
    <xf fontId="0" fillId="9" borderId="0" numFmtId="0" xfId="0" applyFill="1" applyAlignment="1" applyProtection="1">
      <alignment wrapText="1"/>
      <protection hidden="0" locked="1"/>
    </xf>
    <xf fontId="0" fillId="10" borderId="0" numFmtId="0" xfId="0" applyFill="1" applyProtection="1">
      <protection hidden="0" locked="1"/>
    </xf>
    <xf fontId="0" fillId="0" borderId="0" numFmtId="0" xfId="0" applyAlignment="1" applyProtection="1">
      <alignment wrapText="1"/>
      <protection hidden="0" locked="1"/>
    </xf>
    <xf fontId="0" fillId="0" borderId="0" numFmtId="14" xfId="0" applyNumberFormat="1" applyAlignment="1" applyProtection="1">
      <alignment wrapText="1"/>
      <protection hidden="0" locked="1"/>
    </xf>
    <xf fontId="0" fillId="5" borderId="0" numFmtId="14" xfId="0" applyNumberFormat="1" applyFill="1" applyProtection="1">
      <protection hidden="0" locked="1"/>
    </xf>
    <xf fontId="0" fillId="5" borderId="0" numFmtId="14" xfId="0" applyNumberFormat="1" applyFill="1" applyAlignment="1" applyProtection="1">
      <alignment wrapText="1"/>
      <protection hidden="0" locked="1"/>
    </xf>
    <xf fontId="0" fillId="5" borderId="0" numFmtId="0" xfId="0" applyFill="1" applyProtection="1">
      <protection hidden="0" locked="1"/>
    </xf>
    <xf fontId="0" fillId="5" borderId="0" numFmtId="0" xfId="0" applyFill="1" applyAlignment="1" applyProtection="1">
      <alignment wrapText="1"/>
      <protection hidden="0" locked="1"/>
    </xf>
    <xf fontId="0" fillId="11" borderId="0" numFmtId="14" xfId="0" applyNumberFormat="1" applyFill="1" applyProtection="1">
      <protection hidden="0" locked="1"/>
    </xf>
    <xf fontId="0" fillId="7" borderId="0" numFmtId="14" xfId="0" applyNumberFormat="1" applyFill="1" applyProtection="1">
      <protection hidden="0" locked="1"/>
    </xf>
    <xf fontId="0" fillId="12" borderId="0" numFmtId="14" xfId="0" applyNumberFormat="1" applyFill="1" applyProtection="1">
      <protection hidden="0" locked="1"/>
    </xf>
    <xf fontId="0" fillId="12" borderId="0" numFmtId="0" xfId="0" applyFill="1" applyProtection="1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theme" Target="theme/theme1.xml"/><Relationship  Id="rId9" Type="http://schemas.openxmlformats.org/officeDocument/2006/relationships/sharedStrings" Target="sharedString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0" zoomScale="110" workbookViewId="0">
      <selection activeCell="C17" activeCellId="0" sqref="B17:E17"/>
    </sheetView>
  </sheetViews>
  <sheetFormatPr defaultColWidth="8.6875" defaultRowHeight="14.25" customHeight="1"/>
  <cols>
    <col customWidth="1" min="1" max="1" style="1" width="16.120000000000001"/>
    <col customWidth="1" min="2" max="2" style="1" width="17.510000000000002"/>
    <col customWidth="1" min="3" max="4" style="1" width="30.140000000000001"/>
    <col customWidth="1" min="5" max="5" style="1" width="49.850000000000001"/>
    <col customWidth="1" min="6" max="6" style="1" width="26.289999999999999"/>
    <col customWidth="1" min="7" max="7" style="1" width="12.710000000000001"/>
  </cols>
  <sheetData>
    <row r="1" ht="36" customHeight="1">
      <c r="A1" s="2" t="s">
        <v>0</v>
      </c>
      <c r="B1" s="2" t="s">
        <v>1</v>
      </c>
      <c r="C1" s="2" t="s">
        <v>2</v>
      </c>
      <c r="D1" s="2"/>
      <c r="E1" s="2" t="s">
        <v>3</v>
      </c>
    </row>
    <row r="2" ht="36" customHeight="1">
      <c r="A2" s="3">
        <v>46062</v>
      </c>
      <c r="B2" s="4" t="s">
        <v>4</v>
      </c>
      <c r="C2" s="5" t="s">
        <v>5</v>
      </c>
      <c r="D2" s="5"/>
      <c r="E2" s="5" t="s">
        <v>6</v>
      </c>
    </row>
    <row r="3" ht="36" customHeight="1">
      <c r="A3" s="3">
        <v>46066</v>
      </c>
      <c r="B3" s="4" t="s">
        <v>4</v>
      </c>
      <c r="C3" s="5" t="s">
        <v>5</v>
      </c>
      <c r="D3" s="5"/>
      <c r="E3" s="5" t="s">
        <v>7</v>
      </c>
    </row>
    <row r="4" ht="36" customHeight="1">
      <c r="A4" s="3">
        <f t="shared" ref="A4:A11" si="0">A2 + 7</f>
        <v>46069</v>
      </c>
      <c r="B4" s="6" t="s">
        <v>8</v>
      </c>
      <c r="C4" s="6"/>
      <c r="D4" s="6"/>
      <c r="E4" s="6"/>
    </row>
    <row r="5" ht="36" customHeight="1">
      <c r="A5" s="3">
        <f t="shared" si="0"/>
        <v>46073</v>
      </c>
      <c r="B5" s="4" t="s">
        <v>4</v>
      </c>
      <c r="C5" s="5" t="s">
        <v>5</v>
      </c>
      <c r="D5" s="5"/>
      <c r="E5" s="5" t="s">
        <v>9</v>
      </c>
    </row>
    <row r="6" ht="36" customHeight="1">
      <c r="A6" s="3">
        <f t="shared" si="0"/>
        <v>46076</v>
      </c>
      <c r="B6" s="4" t="s">
        <v>4</v>
      </c>
      <c r="C6" s="5" t="s">
        <v>10</v>
      </c>
      <c r="D6" s="5"/>
      <c r="E6" s="5" t="s">
        <v>11</v>
      </c>
      <c r="G6" s="7"/>
      <c r="H6" s="1"/>
      <c r="I6" s="1"/>
      <c r="J6" s="1"/>
    </row>
    <row r="7" ht="36" customHeight="1">
      <c r="A7" s="3">
        <f t="shared" si="0"/>
        <v>46080</v>
      </c>
      <c r="B7" s="8" t="s">
        <v>12</v>
      </c>
      <c r="C7" s="9" t="s">
        <v>13</v>
      </c>
      <c r="D7" s="9"/>
      <c r="E7" s="9" t="s">
        <v>14</v>
      </c>
      <c r="J7" s="1"/>
    </row>
    <row r="8" ht="36" customHeight="1">
      <c r="A8" s="3">
        <f t="shared" si="0"/>
        <v>46083</v>
      </c>
      <c r="B8" s="4" t="s">
        <v>12</v>
      </c>
      <c r="C8" s="5" t="s">
        <v>15</v>
      </c>
      <c r="D8" s="5"/>
      <c r="E8" s="5" t="s">
        <v>16</v>
      </c>
      <c r="J8" s="1"/>
    </row>
    <row r="9" ht="36" customHeight="1">
      <c r="A9" s="3">
        <f t="shared" si="0"/>
        <v>46087</v>
      </c>
      <c r="B9" s="4" t="s">
        <v>12</v>
      </c>
      <c r="C9" s="5" t="s">
        <v>17</v>
      </c>
      <c r="D9" s="5"/>
      <c r="E9" s="5" t="s">
        <v>18</v>
      </c>
      <c r="F9" s="1"/>
    </row>
    <row r="10" ht="36" customHeight="1">
      <c r="A10" s="3">
        <f t="shared" si="0"/>
        <v>46090</v>
      </c>
      <c r="B10" s="8" t="s">
        <v>12</v>
      </c>
      <c r="C10" s="9" t="s">
        <v>19</v>
      </c>
      <c r="D10" s="9"/>
      <c r="E10" s="9" t="s">
        <v>20</v>
      </c>
    </row>
    <row r="11" ht="36" customHeight="1">
      <c r="A11" s="3">
        <f t="shared" si="0"/>
        <v>46094</v>
      </c>
      <c r="B11" s="8" t="s">
        <v>12</v>
      </c>
      <c r="C11" s="9" t="s">
        <v>19</v>
      </c>
      <c r="D11" s="9"/>
      <c r="E11" s="9" t="s">
        <v>20</v>
      </c>
      <c r="G11" s="7"/>
      <c r="H11" s="1"/>
      <c r="I11" s="1"/>
      <c r="J11" s="1"/>
    </row>
    <row r="12" ht="36" customHeight="1">
      <c r="A12" s="3">
        <f t="shared" ref="A12:A28" si="1">A10 + 7</f>
        <v>46097</v>
      </c>
      <c r="B12" s="4"/>
      <c r="C12" s="5"/>
      <c r="D12" s="5"/>
      <c r="E12" s="5"/>
    </row>
    <row r="13" ht="54.950000000000003" customHeight="1">
      <c r="A13" s="3">
        <f t="shared" si="1"/>
        <v>46101</v>
      </c>
      <c r="B13" s="10" t="s">
        <v>21</v>
      </c>
      <c r="C13" s="10"/>
      <c r="D13" s="10"/>
      <c r="E13" s="10"/>
    </row>
    <row r="14" ht="36" customHeight="1">
      <c r="A14" s="3">
        <f t="shared" si="1"/>
        <v>46104</v>
      </c>
      <c r="B14" s="10"/>
      <c r="C14" s="10"/>
      <c r="D14" s="10"/>
      <c r="E14" s="10"/>
    </row>
    <row r="15" ht="36" customHeight="1">
      <c r="A15" s="3">
        <f t="shared" si="1"/>
        <v>46108</v>
      </c>
      <c r="B15" s="10"/>
      <c r="C15" s="10"/>
      <c r="D15" s="10"/>
      <c r="E15" s="10"/>
    </row>
    <row r="16" ht="36" customHeight="1">
      <c r="A16" s="3">
        <f t="shared" si="1"/>
        <v>46111</v>
      </c>
      <c r="B16" s="11" t="s">
        <v>22</v>
      </c>
      <c r="C16" s="5" t="s">
        <v>23</v>
      </c>
      <c r="D16" s="12"/>
      <c r="E16" s="12" t="s">
        <v>24</v>
      </c>
      <c r="F16" s="1"/>
      <c r="G16" s="1"/>
    </row>
    <row r="17" ht="36" customHeight="1">
      <c r="A17" s="3">
        <f t="shared" si="1"/>
        <v>46115</v>
      </c>
      <c r="B17" s="6" t="s">
        <v>8</v>
      </c>
      <c r="C17" s="6"/>
      <c r="D17" s="6"/>
      <c r="E17" s="6"/>
    </row>
    <row r="18" ht="36" customHeight="1">
      <c r="A18" s="3">
        <f t="shared" si="1"/>
        <v>46118</v>
      </c>
      <c r="B18" s="4" t="s">
        <v>22</v>
      </c>
      <c r="C18" s="5" t="s">
        <v>23</v>
      </c>
      <c r="D18" s="5"/>
      <c r="E18" s="5" t="s">
        <v>25</v>
      </c>
      <c r="J18" s="1"/>
    </row>
    <row r="19" ht="36" customHeight="1">
      <c r="A19" s="3">
        <f t="shared" si="1"/>
        <v>46122</v>
      </c>
      <c r="B19" s="8" t="s">
        <v>22</v>
      </c>
      <c r="C19" s="9" t="s">
        <v>26</v>
      </c>
      <c r="D19" s="9"/>
      <c r="E19" s="9" t="s">
        <v>27</v>
      </c>
      <c r="J19" s="1"/>
    </row>
    <row r="20" ht="36" customHeight="1">
      <c r="A20" s="3">
        <f t="shared" si="1"/>
        <v>46125</v>
      </c>
      <c r="B20" s="8" t="s">
        <v>22</v>
      </c>
      <c r="C20" s="9" t="s">
        <v>26</v>
      </c>
      <c r="D20" s="9"/>
      <c r="E20" s="9" t="s">
        <v>28</v>
      </c>
    </row>
    <row r="21" ht="36" customHeight="1">
      <c r="A21" s="3">
        <f t="shared" si="1"/>
        <v>46129</v>
      </c>
      <c r="B21" s="4" t="s">
        <v>29</v>
      </c>
      <c r="C21" s="5" t="s">
        <v>30</v>
      </c>
      <c r="D21" s="5"/>
      <c r="E21" s="5" t="s">
        <v>31</v>
      </c>
    </row>
    <row r="22" ht="36" customHeight="1">
      <c r="A22" s="3">
        <f t="shared" si="1"/>
        <v>46132</v>
      </c>
      <c r="B22" s="6" t="s">
        <v>8</v>
      </c>
      <c r="C22" s="6"/>
      <c r="D22" s="6"/>
      <c r="E22" s="6"/>
    </row>
    <row r="23" ht="36" customHeight="1">
      <c r="A23" s="3">
        <f t="shared" si="1"/>
        <v>46136</v>
      </c>
      <c r="B23" s="4" t="s">
        <v>29</v>
      </c>
      <c r="C23" s="5" t="s">
        <v>30</v>
      </c>
      <c r="D23" s="5"/>
      <c r="E23" s="5" t="s">
        <v>32</v>
      </c>
      <c r="G23" s="7"/>
      <c r="H23" s="1"/>
      <c r="I23" s="1"/>
      <c r="J23" s="1"/>
    </row>
    <row r="24" ht="36" customHeight="1">
      <c r="A24" s="3">
        <f t="shared" si="1"/>
        <v>46139</v>
      </c>
      <c r="B24" s="8" t="s">
        <v>29</v>
      </c>
      <c r="C24" s="9" t="s">
        <v>33</v>
      </c>
      <c r="D24" s="9"/>
      <c r="E24" s="9" t="s">
        <v>34</v>
      </c>
      <c r="G24" s="7"/>
      <c r="H24" s="1"/>
      <c r="I24" s="1"/>
      <c r="J24" s="1"/>
    </row>
    <row r="25" ht="36" customHeight="1">
      <c r="A25" s="3">
        <f t="shared" si="1"/>
        <v>46143</v>
      </c>
      <c r="B25" s="6" t="s">
        <v>8</v>
      </c>
      <c r="C25" s="6"/>
      <c r="D25" s="6"/>
      <c r="E25" s="6"/>
    </row>
    <row r="26" ht="36" customHeight="1">
      <c r="A26" s="3">
        <f t="shared" si="1"/>
        <v>46146</v>
      </c>
      <c r="B26" s="8" t="s">
        <v>29</v>
      </c>
      <c r="C26" s="9" t="s">
        <v>33</v>
      </c>
      <c r="D26" s="9"/>
      <c r="E26" s="9" t="s">
        <v>34</v>
      </c>
      <c r="G26" s="7"/>
      <c r="H26" s="1"/>
      <c r="I26" s="1"/>
      <c r="J26" s="1"/>
    </row>
    <row r="27" ht="36" customHeight="1">
      <c r="A27" s="3">
        <f t="shared" si="1"/>
        <v>46150</v>
      </c>
      <c r="B27" s="10" t="s">
        <v>35</v>
      </c>
      <c r="C27" s="10"/>
      <c r="D27" s="10"/>
      <c r="E27" s="10"/>
      <c r="G27" s="7"/>
    </row>
    <row r="28" ht="36" customHeight="1">
      <c r="A28" s="3">
        <f t="shared" si="1"/>
        <v>46153</v>
      </c>
      <c r="B28" s="10"/>
      <c r="C28" s="10"/>
      <c r="D28" s="10"/>
      <c r="E28" s="10"/>
      <c r="G28" s="7"/>
    </row>
    <row r="29" ht="36" customHeight="1">
      <c r="B29" s="4"/>
      <c r="C29" s="5"/>
      <c r="D29" s="5"/>
      <c r="E29" s="5"/>
      <c r="H29" s="1"/>
      <c r="I29" s="1"/>
      <c r="J29" s="1"/>
    </row>
    <row r="30" ht="36" customHeight="1"/>
    <row r="31" ht="36" customHeight="1"/>
    <row r="32" ht="36" customHeight="1"/>
    <row r="33" ht="15"/>
  </sheetData>
  <mergeCells count="6">
    <mergeCell ref="B4:E4"/>
    <mergeCell ref="B13:E15"/>
    <mergeCell ref="B17:E17"/>
    <mergeCell ref="B22:E22"/>
    <mergeCell ref="B25:E25"/>
    <mergeCell ref="B27:E28"/>
  </mergeCells>
  <printOptions headings="0" gridLines="0" horizontalCentered="0" verticalCentered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4" zoomScale="110" workbookViewId="0">
      <selection activeCell="E26" activeCellId="1" sqref="B17:E17 E26"/>
    </sheetView>
  </sheetViews>
  <sheetFormatPr defaultColWidth="8.6875" defaultRowHeight="14.25" customHeight="1"/>
  <cols>
    <col customWidth="1" min="1" max="1" style="1" width="16.120000000000001"/>
    <col customWidth="1" min="2" max="2" style="1" width="17.510000000000002"/>
    <col customWidth="1" min="3" max="4" style="1" width="30.140000000000001"/>
    <col customWidth="1" min="5" max="5" style="1" width="49.850000000000001"/>
    <col customWidth="1" min="6" max="6" style="1" width="26.289999999999999"/>
    <col customWidth="1" min="7" max="7" style="1" width="12.710000000000001"/>
  </cols>
  <sheetData>
    <row r="1" ht="36" customHeight="1">
      <c r="A1" s="2" t="s">
        <v>0</v>
      </c>
      <c r="B1" s="2" t="s">
        <v>1</v>
      </c>
      <c r="C1" s="2" t="s">
        <v>2</v>
      </c>
      <c r="D1" s="2"/>
      <c r="E1" s="2" t="s">
        <v>3</v>
      </c>
    </row>
    <row r="2" ht="36" customHeight="1">
      <c r="A2" s="3">
        <v>45880</v>
      </c>
      <c r="B2" s="4" t="s">
        <v>4</v>
      </c>
      <c r="C2" s="5" t="s">
        <v>5</v>
      </c>
      <c r="D2" s="5"/>
      <c r="E2" s="5" t="s">
        <v>6</v>
      </c>
    </row>
    <row r="3" ht="36" customHeight="1">
      <c r="A3" s="3">
        <v>45884</v>
      </c>
      <c r="B3" s="4" t="s">
        <v>4</v>
      </c>
      <c r="C3" s="5" t="s">
        <v>5</v>
      </c>
      <c r="D3" s="5"/>
      <c r="E3" s="5" t="s">
        <v>7</v>
      </c>
    </row>
    <row r="4" ht="36" customHeight="1">
      <c r="A4" s="3">
        <f t="shared" ref="A4:A11" si="2">A2 + 7</f>
        <v>45887</v>
      </c>
      <c r="B4" s="4" t="s">
        <v>4</v>
      </c>
      <c r="C4" s="5" t="s">
        <v>5</v>
      </c>
      <c r="D4" s="5"/>
      <c r="E4" s="5" t="s">
        <v>9</v>
      </c>
    </row>
    <row r="5" ht="36" customHeight="1">
      <c r="A5" s="3">
        <f t="shared" si="2"/>
        <v>45891</v>
      </c>
      <c r="B5" s="4" t="s">
        <v>4</v>
      </c>
      <c r="C5" s="5" t="s">
        <v>10</v>
      </c>
      <c r="D5" s="5"/>
      <c r="E5" s="5" t="s">
        <v>11</v>
      </c>
    </row>
    <row r="6" ht="36" customHeight="1">
      <c r="A6" s="3">
        <f t="shared" si="2"/>
        <v>45894</v>
      </c>
      <c r="B6" s="8" t="s">
        <v>12</v>
      </c>
      <c r="C6" s="9" t="s">
        <v>13</v>
      </c>
      <c r="D6" s="9"/>
      <c r="E6" s="9" t="s">
        <v>14</v>
      </c>
      <c r="G6" s="7"/>
      <c r="H6" s="1"/>
      <c r="I6" s="1"/>
      <c r="J6" s="1"/>
    </row>
    <row r="7" ht="36" customHeight="1">
      <c r="A7" s="3">
        <f t="shared" si="2"/>
        <v>45898</v>
      </c>
      <c r="B7" s="4" t="s">
        <v>12</v>
      </c>
      <c r="C7" s="5" t="s">
        <v>15</v>
      </c>
      <c r="D7" s="5"/>
      <c r="E7" s="5" t="s">
        <v>16</v>
      </c>
      <c r="J7" s="1"/>
    </row>
    <row r="8" ht="36" customHeight="1">
      <c r="A8" s="3">
        <f t="shared" si="2"/>
        <v>45901</v>
      </c>
      <c r="B8" s="4" t="s">
        <v>12</v>
      </c>
      <c r="C8" s="5" t="s">
        <v>17</v>
      </c>
      <c r="D8" s="5"/>
      <c r="E8" s="5" t="s">
        <v>18</v>
      </c>
      <c r="J8" s="1"/>
    </row>
    <row r="9" ht="36" customHeight="1">
      <c r="A9" s="3">
        <f t="shared" si="2"/>
        <v>45905</v>
      </c>
      <c r="B9" s="8" t="s">
        <v>12</v>
      </c>
      <c r="C9" s="9" t="s">
        <v>19</v>
      </c>
      <c r="D9" s="9"/>
      <c r="E9" s="9" t="s">
        <v>20</v>
      </c>
      <c r="F9" s="1" t="s">
        <v>36</v>
      </c>
    </row>
    <row r="10" ht="36" customHeight="1">
      <c r="A10" s="3">
        <f t="shared" si="2"/>
        <v>45908</v>
      </c>
      <c r="B10" s="8" t="s">
        <v>12</v>
      </c>
      <c r="C10" s="9" t="s">
        <v>19</v>
      </c>
      <c r="D10" s="9"/>
      <c r="E10" s="9" t="s">
        <v>20</v>
      </c>
    </row>
    <row r="11" ht="36" customHeight="1">
      <c r="A11" s="3">
        <f t="shared" si="2"/>
        <v>45912</v>
      </c>
      <c r="B11" s="13" t="s">
        <v>37</v>
      </c>
      <c r="C11" s="13"/>
      <c r="D11" s="13"/>
      <c r="E11" s="13"/>
      <c r="G11" s="7"/>
      <c r="H11" s="1"/>
      <c r="I11" s="1"/>
      <c r="J11" s="1"/>
    </row>
    <row r="12" ht="36" customHeight="1">
      <c r="A12" s="3">
        <f t="shared" ref="A12:A28" si="3">A10 + 7</f>
        <v>45915</v>
      </c>
      <c r="B12" s="4" t="s">
        <v>38</v>
      </c>
      <c r="C12" s="5" t="s">
        <v>39</v>
      </c>
      <c r="D12" s="5"/>
      <c r="E12" s="5" t="s">
        <v>40</v>
      </c>
    </row>
    <row r="13" ht="54.950000000000003" customHeight="1">
      <c r="A13" s="3">
        <f t="shared" si="3"/>
        <v>45919</v>
      </c>
      <c r="B13" s="10" t="s">
        <v>21</v>
      </c>
      <c r="C13" s="10"/>
      <c r="D13" s="10"/>
      <c r="E13" s="10"/>
    </row>
    <row r="14" ht="36" customHeight="1">
      <c r="A14" s="3">
        <f t="shared" si="3"/>
        <v>45922</v>
      </c>
      <c r="B14" s="10"/>
      <c r="C14" s="10"/>
      <c r="D14" s="10"/>
      <c r="E14" s="10"/>
    </row>
    <row r="15" ht="36" customHeight="1">
      <c r="A15" s="3">
        <f t="shared" si="3"/>
        <v>45926</v>
      </c>
      <c r="B15" s="10"/>
      <c r="C15" s="10"/>
      <c r="D15" s="10"/>
      <c r="E15" s="10"/>
    </row>
    <row r="16" ht="36" customHeight="1">
      <c r="A16" s="3">
        <f t="shared" si="3"/>
        <v>45929</v>
      </c>
      <c r="B16" s="4" t="s">
        <v>22</v>
      </c>
      <c r="C16" s="5" t="s">
        <v>23</v>
      </c>
      <c r="D16" s="5"/>
      <c r="E16" s="5" t="s">
        <v>24</v>
      </c>
    </row>
    <row r="17" ht="36" customHeight="1">
      <c r="A17" s="3">
        <f t="shared" si="3"/>
        <v>45933</v>
      </c>
      <c r="B17" s="4" t="s">
        <v>22</v>
      </c>
      <c r="C17" s="5" t="s">
        <v>23</v>
      </c>
      <c r="D17" s="5"/>
      <c r="E17" s="5" t="s">
        <v>25</v>
      </c>
    </row>
    <row r="18" ht="36" customHeight="1">
      <c r="A18" s="3">
        <f t="shared" si="3"/>
        <v>45936</v>
      </c>
      <c r="B18" s="8" t="s">
        <v>22</v>
      </c>
      <c r="C18" s="9" t="s">
        <v>26</v>
      </c>
      <c r="D18" s="9"/>
      <c r="E18" s="9" t="s">
        <v>27</v>
      </c>
      <c r="J18" s="1"/>
    </row>
    <row r="19" ht="36" customHeight="1">
      <c r="A19" s="3">
        <f t="shared" si="3"/>
        <v>45940</v>
      </c>
      <c r="B19" s="8" t="s">
        <v>22</v>
      </c>
      <c r="C19" s="9" t="s">
        <v>26</v>
      </c>
      <c r="D19" s="9"/>
      <c r="E19" s="9" t="s">
        <v>28</v>
      </c>
      <c r="J19" s="1"/>
    </row>
    <row r="20" ht="36" customHeight="1">
      <c r="A20" s="3">
        <f t="shared" si="3"/>
        <v>45943</v>
      </c>
      <c r="B20" s="4" t="s">
        <v>29</v>
      </c>
      <c r="C20" s="5" t="s">
        <v>30</v>
      </c>
      <c r="D20" s="5"/>
      <c r="E20" s="5" t="s">
        <v>32</v>
      </c>
    </row>
    <row r="21" ht="36" customHeight="1">
      <c r="A21" s="3">
        <f t="shared" si="3"/>
        <v>45947</v>
      </c>
      <c r="B21" s="4" t="s">
        <v>29</v>
      </c>
      <c r="C21" s="5" t="s">
        <v>30</v>
      </c>
      <c r="D21" s="5"/>
      <c r="E21" s="5" t="s">
        <v>31</v>
      </c>
    </row>
    <row r="22" ht="36" customHeight="1">
      <c r="A22" s="3">
        <f t="shared" si="3"/>
        <v>45950</v>
      </c>
      <c r="B22" s="13" t="s">
        <v>37</v>
      </c>
      <c r="C22" s="13"/>
      <c r="D22" s="13"/>
      <c r="E22" s="13"/>
    </row>
    <row r="23" ht="36" customHeight="1">
      <c r="A23" s="3">
        <f t="shared" si="3"/>
        <v>45954</v>
      </c>
      <c r="B23" s="8" t="s">
        <v>29</v>
      </c>
      <c r="C23" s="9" t="s">
        <v>33</v>
      </c>
      <c r="D23" s="9"/>
      <c r="E23" s="9" t="s">
        <v>34</v>
      </c>
      <c r="G23" s="7"/>
      <c r="H23" s="1"/>
      <c r="I23" s="1"/>
      <c r="J23" s="1"/>
    </row>
    <row r="24" ht="36" customHeight="1">
      <c r="A24" s="3">
        <f t="shared" si="3"/>
        <v>45957</v>
      </c>
      <c r="B24" s="8" t="s">
        <v>29</v>
      </c>
      <c r="C24" s="9" t="s">
        <v>33</v>
      </c>
      <c r="D24" s="9"/>
      <c r="E24" s="9" t="s">
        <v>34</v>
      </c>
      <c r="G24" s="7"/>
      <c r="H24" s="1"/>
      <c r="I24" s="1"/>
      <c r="J24" s="1"/>
    </row>
    <row r="25" ht="36" customHeight="1">
      <c r="A25" s="3">
        <f t="shared" si="3"/>
        <v>45961</v>
      </c>
      <c r="B25" s="8" t="s">
        <v>29</v>
      </c>
      <c r="C25" s="9" t="s">
        <v>33</v>
      </c>
      <c r="D25" s="9"/>
      <c r="E25" s="9" t="s">
        <v>41</v>
      </c>
    </row>
    <row r="26" ht="36" customHeight="1">
      <c r="A26" s="3">
        <f t="shared" si="3"/>
        <v>45964</v>
      </c>
      <c r="B26" s="4" t="s">
        <v>38</v>
      </c>
      <c r="C26" s="5" t="s">
        <v>39</v>
      </c>
      <c r="D26" s="5"/>
      <c r="E26" s="5" t="s">
        <v>40</v>
      </c>
      <c r="G26" s="7"/>
      <c r="H26" s="1"/>
      <c r="I26" s="1"/>
      <c r="J26" s="1"/>
    </row>
    <row r="27" ht="36" customHeight="1">
      <c r="A27" s="3">
        <f t="shared" si="3"/>
        <v>45968</v>
      </c>
      <c r="B27" s="10" t="s">
        <v>35</v>
      </c>
      <c r="C27" s="10"/>
      <c r="D27" s="10"/>
      <c r="E27" s="10"/>
      <c r="G27" s="7"/>
      <c r="H27" s="1"/>
      <c r="I27" s="1"/>
      <c r="J27" s="1"/>
    </row>
    <row r="28" ht="36" customHeight="1">
      <c r="A28" s="3">
        <f t="shared" si="3"/>
        <v>45971</v>
      </c>
      <c r="B28" s="10"/>
      <c r="C28" s="10"/>
      <c r="D28" s="10"/>
      <c r="E28" s="10"/>
      <c r="G28" s="7"/>
      <c r="H28" s="1"/>
      <c r="I28" s="1"/>
      <c r="J28" s="1"/>
    </row>
    <row r="29" ht="36" customHeight="1">
      <c r="H29" s="1"/>
      <c r="I29" s="1"/>
      <c r="J29" s="1"/>
    </row>
    <row r="30" ht="36" customHeight="1"/>
    <row r="31" ht="36" customHeight="1"/>
    <row r="32" ht="36" customHeight="1"/>
    <row r="33" ht="15"/>
  </sheetData>
  <mergeCells count="4">
    <mergeCell ref="B11:E11"/>
    <mergeCell ref="B13:E15"/>
    <mergeCell ref="B22:E22"/>
    <mergeCell ref="B27:E28"/>
  </mergeCells>
  <printOptions headings="0" gridLines="0" horizontalCentered="0" verticalCentered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3" zoomScale="110" workbookViewId="0">
      <selection activeCell="A21" activeCellId="1" sqref="B17:E17 A21"/>
    </sheetView>
  </sheetViews>
  <sheetFormatPr defaultColWidth="8.6875" defaultRowHeight="14.25" customHeight="1"/>
  <cols>
    <col customWidth="1" min="1" max="1" style="1" width="16.120000000000001"/>
    <col customWidth="1" min="2" max="2" style="1" width="17.510000000000002"/>
    <col customWidth="1" min="3" max="4" style="1" width="30.140000000000001"/>
    <col customWidth="1" min="5" max="5" style="1" width="49.850000000000001"/>
    <col customWidth="1" min="6" max="6" style="1" width="26.289999999999999"/>
    <col customWidth="1" min="7" max="7" style="1" width="12.710000000000001"/>
  </cols>
  <sheetData>
    <row r="1" ht="36" customHeight="1">
      <c r="A1" s="2" t="s">
        <v>0</v>
      </c>
      <c r="B1" s="2" t="s">
        <v>1</v>
      </c>
      <c r="C1" s="2" t="s">
        <v>2</v>
      </c>
      <c r="D1" s="2"/>
      <c r="E1" s="2" t="s">
        <v>3</v>
      </c>
    </row>
    <row r="2" ht="36" customHeight="1">
      <c r="A2" s="3">
        <v>45691</v>
      </c>
      <c r="B2" s="4" t="s">
        <v>4</v>
      </c>
      <c r="C2" s="5" t="s">
        <v>5</v>
      </c>
      <c r="D2" s="5"/>
      <c r="E2" s="5" t="s">
        <v>6</v>
      </c>
    </row>
    <row r="3" ht="36" customHeight="1">
      <c r="A3" s="3">
        <v>45695</v>
      </c>
      <c r="B3" s="4" t="s">
        <v>4</v>
      </c>
      <c r="C3" s="5" t="s">
        <v>5</v>
      </c>
      <c r="D3" s="5"/>
      <c r="E3" s="5" t="s">
        <v>7</v>
      </c>
    </row>
    <row r="4" ht="36" customHeight="1">
      <c r="A4" s="3">
        <f>A2 + 7</f>
        <v>45698</v>
      </c>
      <c r="B4" s="4" t="s">
        <v>4</v>
      </c>
      <c r="C4" s="5" t="s">
        <v>5</v>
      </c>
      <c r="D4" s="5"/>
      <c r="E4" s="5" t="s">
        <v>9</v>
      </c>
    </row>
    <row r="5" ht="36" customHeight="1">
      <c r="A5" s="3">
        <f>A3 +7</f>
        <v>45702</v>
      </c>
      <c r="B5" s="4" t="s">
        <v>4</v>
      </c>
      <c r="C5" s="5" t="s">
        <v>10</v>
      </c>
      <c r="D5" s="5"/>
      <c r="E5" s="5" t="s">
        <v>11</v>
      </c>
    </row>
    <row r="6" ht="36" customHeight="1">
      <c r="A6" s="3">
        <f>A4 + 7</f>
        <v>45705</v>
      </c>
      <c r="B6" s="8" t="s">
        <v>12</v>
      </c>
      <c r="C6" s="9" t="s">
        <v>13</v>
      </c>
      <c r="D6" s="9"/>
      <c r="E6" s="9" t="s">
        <v>14</v>
      </c>
      <c r="G6" s="7"/>
      <c r="H6" s="1"/>
      <c r="I6" s="1"/>
      <c r="J6" s="1"/>
    </row>
    <row r="7" ht="36" customHeight="1">
      <c r="A7" s="3">
        <f>A5+7</f>
        <v>45709</v>
      </c>
      <c r="B7" s="14" t="s">
        <v>42</v>
      </c>
      <c r="C7" s="14"/>
      <c r="D7" s="14"/>
      <c r="E7" s="14"/>
      <c r="J7" s="1"/>
    </row>
    <row r="8" ht="36" customHeight="1">
      <c r="A8" s="3">
        <f>A6 + 7</f>
        <v>45712</v>
      </c>
      <c r="B8" s="15" t="s">
        <v>43</v>
      </c>
      <c r="C8" s="15" t="s">
        <v>43</v>
      </c>
      <c r="D8" s="15" t="s">
        <v>43</v>
      </c>
      <c r="E8" s="15" t="s">
        <v>43</v>
      </c>
      <c r="J8" s="1"/>
    </row>
    <row r="9" ht="36" customHeight="1">
      <c r="A9" s="3">
        <f>A7 +7</f>
        <v>45716</v>
      </c>
      <c r="B9" s="15" t="s">
        <v>43</v>
      </c>
      <c r="C9" s="15" t="s">
        <v>43</v>
      </c>
      <c r="D9" s="15" t="s">
        <v>43</v>
      </c>
      <c r="E9" s="15" t="s">
        <v>43</v>
      </c>
      <c r="F9" s="1" t="s">
        <v>36</v>
      </c>
    </row>
    <row r="10" ht="36" customHeight="1">
      <c r="A10" s="3">
        <f>A8 + 7</f>
        <v>45719</v>
      </c>
      <c r="B10" s="15" t="s">
        <v>44</v>
      </c>
      <c r="C10" s="15" t="s">
        <v>44</v>
      </c>
      <c r="D10" s="15" t="s">
        <v>44</v>
      </c>
      <c r="E10" s="15" t="s">
        <v>44</v>
      </c>
    </row>
    <row r="11" ht="36" customHeight="1">
      <c r="A11" s="3">
        <f>A9 +7</f>
        <v>45723</v>
      </c>
      <c r="B11" s="4" t="s">
        <v>12</v>
      </c>
      <c r="C11" s="5" t="s">
        <v>15</v>
      </c>
      <c r="D11" s="5"/>
      <c r="E11" s="5" t="s">
        <v>16</v>
      </c>
      <c r="G11" s="7"/>
      <c r="H11" s="1"/>
      <c r="I11" s="1"/>
      <c r="J11" s="1"/>
    </row>
    <row r="12" ht="36" customHeight="1">
      <c r="A12" s="3">
        <f>A10 + 7</f>
        <v>45726</v>
      </c>
      <c r="B12" s="4" t="s">
        <v>12</v>
      </c>
      <c r="C12" s="5" t="s">
        <v>17</v>
      </c>
      <c r="D12" s="5"/>
      <c r="E12" s="5" t="s">
        <v>18</v>
      </c>
    </row>
    <row r="13" ht="54.950000000000003" customHeight="1">
      <c r="A13" s="3">
        <f>A11 +7</f>
        <v>45730</v>
      </c>
      <c r="B13" s="8" t="s">
        <v>12</v>
      </c>
      <c r="C13" s="9" t="s">
        <v>19</v>
      </c>
      <c r="D13" s="9"/>
      <c r="E13" s="9" t="s">
        <v>20</v>
      </c>
    </row>
    <row r="14" ht="36" customHeight="1">
      <c r="A14" s="3">
        <f>A12 + 7</f>
        <v>45733</v>
      </c>
      <c r="B14" s="8" t="s">
        <v>12</v>
      </c>
      <c r="C14" s="9" t="s">
        <v>19</v>
      </c>
      <c r="D14" s="9"/>
      <c r="E14" s="9" t="s">
        <v>20</v>
      </c>
      <c r="F14" s="1" t="s">
        <v>45</v>
      </c>
    </row>
    <row r="15" ht="36" customHeight="1">
      <c r="A15" s="3">
        <f>A13 +7</f>
        <v>45737</v>
      </c>
      <c r="B15" s="10" t="s">
        <v>21</v>
      </c>
      <c r="C15" s="10"/>
      <c r="D15" s="10"/>
      <c r="E15" s="10"/>
    </row>
    <row r="16" ht="36" customHeight="1">
      <c r="A16" s="3">
        <f>A14 + 7</f>
        <v>45740</v>
      </c>
      <c r="B16" s="10"/>
      <c r="C16" s="10"/>
      <c r="D16" s="10"/>
      <c r="E16" s="10"/>
    </row>
    <row r="17" ht="36" customHeight="1">
      <c r="A17" s="3">
        <f>A15 +7</f>
        <v>45744</v>
      </c>
      <c r="B17" s="4" t="s">
        <v>22</v>
      </c>
      <c r="C17" s="5" t="s">
        <v>23</v>
      </c>
      <c r="D17" s="5"/>
      <c r="E17" s="5" t="s">
        <v>24</v>
      </c>
    </row>
    <row r="18" ht="36" customHeight="1">
      <c r="A18" s="3">
        <f>A16 + 7</f>
        <v>45747</v>
      </c>
      <c r="B18" s="4" t="s">
        <v>22</v>
      </c>
      <c r="C18" s="5" t="s">
        <v>23</v>
      </c>
      <c r="D18" s="5"/>
      <c r="E18" s="5" t="s">
        <v>25</v>
      </c>
      <c r="J18" s="1"/>
    </row>
    <row r="19" ht="36" customHeight="1">
      <c r="A19" s="3">
        <f>A17 +7</f>
        <v>45751</v>
      </c>
      <c r="B19" s="8" t="s">
        <v>22</v>
      </c>
      <c r="C19" s="9" t="s">
        <v>26</v>
      </c>
      <c r="D19" s="9"/>
      <c r="E19" s="9" t="s">
        <v>27</v>
      </c>
      <c r="J19" s="1"/>
    </row>
    <row r="20" ht="36" customHeight="1">
      <c r="A20" s="3">
        <f>A18 + 7</f>
        <v>45754</v>
      </c>
      <c r="B20" s="8" t="s">
        <v>22</v>
      </c>
      <c r="C20" s="9" t="s">
        <v>26</v>
      </c>
      <c r="D20" s="9"/>
      <c r="E20" s="9" t="s">
        <v>28</v>
      </c>
      <c r="F20" s="1" t="s">
        <v>36</v>
      </c>
    </row>
    <row r="21" ht="36" customHeight="1">
      <c r="A21" s="16" t="s">
        <v>46</v>
      </c>
      <c r="B21" s="8" t="s">
        <v>22</v>
      </c>
      <c r="C21" s="9" t="s">
        <v>47</v>
      </c>
      <c r="D21" s="9"/>
      <c r="E21" s="9" t="s">
        <v>48</v>
      </c>
    </row>
    <row r="22" ht="36" customHeight="1">
      <c r="A22" s="3">
        <f>A19 +7</f>
        <v>45758</v>
      </c>
      <c r="B22" s="4" t="s">
        <v>29</v>
      </c>
      <c r="C22" s="5" t="s">
        <v>30</v>
      </c>
      <c r="D22" s="5"/>
      <c r="E22" s="5" t="s">
        <v>32</v>
      </c>
    </row>
    <row r="23" ht="36" customHeight="1">
      <c r="A23" s="3">
        <f>A20 + 7</f>
        <v>45761</v>
      </c>
      <c r="B23" s="4" t="s">
        <v>29</v>
      </c>
      <c r="C23" s="5" t="s">
        <v>30</v>
      </c>
      <c r="D23" s="5"/>
      <c r="E23" s="5" t="s">
        <v>31</v>
      </c>
      <c r="G23" s="7"/>
      <c r="H23" s="1"/>
      <c r="I23" s="1"/>
      <c r="J23" s="1"/>
    </row>
    <row r="24" ht="36" customHeight="1">
      <c r="A24" s="16" t="s">
        <v>46</v>
      </c>
      <c r="B24" s="4" t="s">
        <v>29</v>
      </c>
      <c r="C24" s="5" t="s">
        <v>30</v>
      </c>
      <c r="D24" s="5"/>
      <c r="E24" s="5" t="s">
        <v>41</v>
      </c>
      <c r="G24" s="7"/>
      <c r="H24" s="1"/>
      <c r="I24" s="1"/>
      <c r="J24" s="1"/>
    </row>
    <row r="25" ht="36" customHeight="1">
      <c r="A25" s="3">
        <f>A22 +7</f>
        <v>45765</v>
      </c>
      <c r="B25" s="10" t="s">
        <v>49</v>
      </c>
      <c r="C25" s="10"/>
      <c r="D25" s="10"/>
      <c r="E25" s="10"/>
    </row>
    <row r="26" ht="36" customHeight="1">
      <c r="A26" s="3">
        <f>A23 + 7</f>
        <v>45768</v>
      </c>
      <c r="B26" s="10" t="s">
        <v>49</v>
      </c>
      <c r="C26" s="10"/>
      <c r="D26" s="10"/>
      <c r="E26" s="10"/>
      <c r="G26" s="7"/>
      <c r="H26" s="1"/>
      <c r="I26" s="1"/>
      <c r="J26" s="1"/>
    </row>
    <row r="27" ht="36" customHeight="1">
      <c r="A27" s="3">
        <f>A25 +7</f>
        <v>45772</v>
      </c>
      <c r="B27" s="8" t="s">
        <v>29</v>
      </c>
      <c r="C27" s="9" t="s">
        <v>33</v>
      </c>
      <c r="D27" s="9"/>
      <c r="E27" s="9" t="s">
        <v>34</v>
      </c>
      <c r="G27" s="7"/>
      <c r="H27" s="1"/>
      <c r="I27" s="1"/>
      <c r="J27" s="1"/>
    </row>
    <row r="28" ht="36" customHeight="1">
      <c r="A28" s="3">
        <f>A26 + 7</f>
        <v>45775</v>
      </c>
      <c r="B28" s="8" t="s">
        <v>29</v>
      </c>
      <c r="C28" s="9" t="s">
        <v>33</v>
      </c>
      <c r="D28" s="9"/>
      <c r="E28" s="9" t="s">
        <v>34</v>
      </c>
      <c r="G28" s="7"/>
      <c r="H28" s="1"/>
      <c r="I28" s="1"/>
      <c r="J28" s="1"/>
    </row>
    <row r="29" ht="36" customHeight="1">
      <c r="A29" s="3">
        <f>A27 +7</f>
        <v>45779</v>
      </c>
      <c r="B29" s="10" t="s">
        <v>49</v>
      </c>
      <c r="C29" s="10"/>
      <c r="D29" s="10"/>
      <c r="E29" s="10"/>
      <c r="F29" s="1" t="s">
        <v>36</v>
      </c>
      <c r="G29" s="7"/>
      <c r="H29" s="1"/>
      <c r="I29" s="1"/>
      <c r="J29" s="1"/>
    </row>
    <row r="30" ht="36" customHeight="1">
      <c r="A30" s="3">
        <f>A28 + 7</f>
        <v>45782</v>
      </c>
      <c r="B30" s="4" t="s">
        <v>38</v>
      </c>
      <c r="C30" s="5" t="s">
        <v>39</v>
      </c>
      <c r="D30" s="5"/>
      <c r="E30" s="5" t="s">
        <v>50</v>
      </c>
      <c r="F30" s="1" t="s">
        <v>36</v>
      </c>
    </row>
    <row r="31" ht="36" customHeight="1">
      <c r="A31" s="3">
        <f>A29 +7</f>
        <v>45786</v>
      </c>
      <c r="B31" s="15" t="s">
        <v>35</v>
      </c>
      <c r="C31" s="15" t="s">
        <v>35</v>
      </c>
      <c r="D31" s="15" t="s">
        <v>35</v>
      </c>
      <c r="E31" s="15" t="s">
        <v>35</v>
      </c>
    </row>
    <row r="32" ht="36" customHeight="1">
      <c r="A32" s="3">
        <f>A30 + 7</f>
        <v>45789</v>
      </c>
      <c r="B32" s="15" t="s">
        <v>35</v>
      </c>
      <c r="C32" s="15" t="s">
        <v>35</v>
      </c>
      <c r="D32" s="15" t="s">
        <v>35</v>
      </c>
      <c r="E32" s="15" t="s">
        <v>35</v>
      </c>
    </row>
    <row r="33" ht="15"/>
  </sheetData>
  <mergeCells count="5">
    <mergeCell ref="B7:E7"/>
    <mergeCell ref="B15:E16"/>
    <mergeCell ref="B25:E25"/>
    <mergeCell ref="B26:E26"/>
    <mergeCell ref="B29:E29"/>
  </mergeCells>
  <printOptions headings="0" gridLines="0" horizontalCentered="0" verticalCentered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2" zoomScale="110" workbookViewId="0">
      <selection activeCell="C16" activeCellId="1" sqref="B17:E17 C16"/>
    </sheetView>
  </sheetViews>
  <sheetFormatPr defaultColWidth="8.6875" defaultRowHeight="15" customHeight="1"/>
  <cols>
    <col customWidth="1" min="1" max="1" style="1" width="16.120000000000001"/>
    <col customWidth="1" min="2" max="2" style="1" width="17.510000000000002"/>
    <col customWidth="1" min="3" max="4" style="1" width="30.140000000000001"/>
    <col customWidth="1" min="5" max="5" style="1" width="49.850000000000001"/>
    <col customWidth="1" min="6" max="6" style="1" width="26.289999999999999"/>
    <col customWidth="1" min="7" max="7" style="1" width="12.710000000000001"/>
  </cols>
  <sheetData>
    <row r="1" ht="36" customHeight="1">
      <c r="A1" s="2" t="s">
        <v>0</v>
      </c>
      <c r="B1" s="2" t="s">
        <v>1</v>
      </c>
      <c r="C1" s="2" t="s">
        <v>2</v>
      </c>
      <c r="D1" s="2"/>
      <c r="E1" s="2" t="s">
        <v>3</v>
      </c>
    </row>
    <row r="2" ht="36" customHeight="1">
      <c r="A2" s="3">
        <v>45510</v>
      </c>
      <c r="B2" s="4" t="s">
        <v>4</v>
      </c>
      <c r="C2" s="5" t="s">
        <v>5</v>
      </c>
      <c r="D2" s="5"/>
      <c r="E2" s="5" t="s">
        <v>6</v>
      </c>
      <c r="F2" s="17" t="s">
        <v>51</v>
      </c>
    </row>
    <row r="3" ht="36" customHeight="1">
      <c r="A3" s="3">
        <v>45513</v>
      </c>
      <c r="B3" s="4" t="s">
        <v>4</v>
      </c>
      <c r="C3" s="5" t="s">
        <v>5</v>
      </c>
      <c r="D3" s="5"/>
      <c r="E3" s="5" t="s">
        <v>7</v>
      </c>
      <c r="F3" s="17" t="s">
        <v>51</v>
      </c>
    </row>
    <row r="4" ht="36" customHeight="1">
      <c r="A4" s="3">
        <f>A2 + 7</f>
        <v>45517</v>
      </c>
      <c r="B4" s="4" t="s">
        <v>4</v>
      </c>
      <c r="C4" s="5" t="s">
        <v>5</v>
      </c>
      <c r="D4" s="5"/>
      <c r="E4" s="5" t="s">
        <v>9</v>
      </c>
      <c r="F4" s="17" t="s">
        <v>51</v>
      </c>
    </row>
    <row r="5" ht="36" customHeight="1">
      <c r="A5" s="3">
        <f>A3 +7</f>
        <v>45520</v>
      </c>
      <c r="B5" s="4" t="s">
        <v>4</v>
      </c>
      <c r="C5" s="5" t="s">
        <v>10</v>
      </c>
      <c r="D5" s="5"/>
      <c r="E5" s="5" t="s">
        <v>11</v>
      </c>
      <c r="F5" s="17" t="s">
        <v>51</v>
      </c>
    </row>
    <row r="6" ht="36" customHeight="1">
      <c r="A6" s="3">
        <f>A4 + 7</f>
        <v>45524</v>
      </c>
      <c r="B6" s="8" t="s">
        <v>12</v>
      </c>
      <c r="C6" s="9" t="s">
        <v>13</v>
      </c>
      <c r="D6" s="9"/>
      <c r="E6" s="9" t="s">
        <v>14</v>
      </c>
      <c r="F6" s="17" t="s">
        <v>51</v>
      </c>
      <c r="G6" s="7"/>
      <c r="H6" s="1"/>
      <c r="I6" s="1"/>
      <c r="J6" s="1"/>
    </row>
    <row r="7" ht="36" customHeight="1">
      <c r="A7" s="3">
        <f>A5 +7</f>
        <v>45527</v>
      </c>
      <c r="B7" s="8" t="s">
        <v>12</v>
      </c>
      <c r="C7" s="9" t="s">
        <v>15</v>
      </c>
      <c r="D7" s="9"/>
      <c r="E7" s="9" t="s">
        <v>16</v>
      </c>
      <c r="F7" s="17" t="s">
        <v>51</v>
      </c>
      <c r="G7" s="7"/>
      <c r="H7" s="1"/>
      <c r="I7" s="1"/>
      <c r="J7" s="1"/>
    </row>
    <row r="8" ht="36" customHeight="1">
      <c r="A8" s="3">
        <f>A6 + 7</f>
        <v>45531</v>
      </c>
      <c r="B8" s="8" t="s">
        <v>12</v>
      </c>
      <c r="C8" s="9" t="s">
        <v>15</v>
      </c>
      <c r="D8" s="9"/>
      <c r="E8" s="9" t="s">
        <v>16</v>
      </c>
      <c r="F8" s="17" t="s">
        <v>51</v>
      </c>
      <c r="G8" s="7"/>
      <c r="H8" s="1"/>
      <c r="I8" s="1"/>
      <c r="J8" s="1"/>
    </row>
    <row r="9" ht="36" customHeight="1">
      <c r="A9" s="3">
        <f>A7 +7</f>
        <v>45534</v>
      </c>
      <c r="B9" s="4" t="s">
        <v>12</v>
      </c>
      <c r="C9" s="5" t="s">
        <v>19</v>
      </c>
      <c r="D9" s="5"/>
      <c r="E9" s="5" t="s">
        <v>20</v>
      </c>
      <c r="F9" s="17" t="s">
        <v>51</v>
      </c>
    </row>
    <row r="10" ht="36" customHeight="1">
      <c r="A10" s="3">
        <f>A8 + 7</f>
        <v>45538</v>
      </c>
      <c r="B10" s="4" t="s">
        <v>12</v>
      </c>
      <c r="C10" s="5" t="s">
        <v>19</v>
      </c>
      <c r="D10" s="5"/>
      <c r="E10" s="5" t="s">
        <v>20</v>
      </c>
      <c r="F10" s="17" t="s">
        <v>51</v>
      </c>
    </row>
    <row r="11" ht="36" customHeight="1">
      <c r="A11" s="3">
        <f>A9 +7</f>
        <v>45541</v>
      </c>
      <c r="B11" s="8" t="s">
        <v>12</v>
      </c>
      <c r="C11" s="9" t="s">
        <v>17</v>
      </c>
      <c r="D11" s="9"/>
      <c r="E11" s="5" t="s">
        <v>18</v>
      </c>
      <c r="F11" s="17" t="s">
        <v>51</v>
      </c>
      <c r="G11" s="7"/>
      <c r="H11" s="1"/>
      <c r="I11" s="1"/>
      <c r="J11" s="1"/>
    </row>
    <row r="12" ht="36" customHeight="1">
      <c r="A12" s="3">
        <f>A10 + 7</f>
        <v>45545</v>
      </c>
      <c r="B12" s="4" t="s">
        <v>22</v>
      </c>
      <c r="C12" s="5" t="s">
        <v>23</v>
      </c>
      <c r="D12" s="5"/>
      <c r="E12" s="5" t="s">
        <v>24</v>
      </c>
      <c r="F12" s="17" t="s">
        <v>51</v>
      </c>
    </row>
    <row r="13" ht="54.950000000000003" customHeight="1">
      <c r="A13" s="3">
        <f>A11 +7</f>
        <v>45548</v>
      </c>
      <c r="B13" s="4" t="s">
        <v>22</v>
      </c>
      <c r="C13" s="5" t="s">
        <v>23</v>
      </c>
      <c r="D13" s="5"/>
      <c r="E13" s="5" t="s">
        <v>25</v>
      </c>
      <c r="F13" s="17" t="s">
        <v>51</v>
      </c>
    </row>
    <row r="14" ht="36" customHeight="1">
      <c r="A14" s="3">
        <f>A12 + 7</f>
        <v>45552</v>
      </c>
      <c r="B14" s="4" t="s">
        <v>38</v>
      </c>
      <c r="C14" s="5" t="s">
        <v>39</v>
      </c>
      <c r="D14" s="5"/>
      <c r="E14" s="5" t="s">
        <v>40</v>
      </c>
    </row>
    <row r="15" ht="36" customHeight="1">
      <c r="A15" s="3">
        <f>A13 +7</f>
        <v>45555</v>
      </c>
      <c r="B15" s="18" t="s">
        <v>21</v>
      </c>
      <c r="C15" s="15" t="s">
        <v>21</v>
      </c>
      <c r="D15" s="15" t="s">
        <v>21</v>
      </c>
      <c r="E15" s="15" t="s">
        <v>21</v>
      </c>
    </row>
    <row r="16" ht="36" customHeight="1">
      <c r="A16" s="3">
        <f>A14 + 7</f>
        <v>45559</v>
      </c>
      <c r="B16" s="18" t="s">
        <v>21</v>
      </c>
      <c r="C16" s="15" t="s">
        <v>21</v>
      </c>
      <c r="D16" s="15" t="s">
        <v>21</v>
      </c>
      <c r="E16" s="15" t="s">
        <v>21</v>
      </c>
    </row>
    <row r="17" ht="36" customHeight="1">
      <c r="A17" s="3">
        <f>A15 +7</f>
        <v>45562</v>
      </c>
      <c r="B17" s="8" t="s">
        <v>22</v>
      </c>
      <c r="C17" s="9" t="s">
        <v>26</v>
      </c>
      <c r="D17" s="9"/>
      <c r="E17" s="9" t="s">
        <v>27</v>
      </c>
      <c r="F17" s="17" t="s">
        <v>51</v>
      </c>
    </row>
    <row r="18" ht="36" customHeight="1">
      <c r="A18" s="3">
        <f>A16 + 7</f>
        <v>45566</v>
      </c>
      <c r="B18" s="8" t="s">
        <v>22</v>
      </c>
      <c r="C18" s="9" t="s">
        <v>26</v>
      </c>
      <c r="D18" s="9"/>
      <c r="E18" s="9" t="s">
        <v>28</v>
      </c>
      <c r="F18" s="17" t="s">
        <v>51</v>
      </c>
      <c r="G18" s="7"/>
      <c r="H18" s="1"/>
      <c r="I18" s="1"/>
      <c r="J18" s="1"/>
    </row>
    <row r="19" ht="36" customHeight="1">
      <c r="A19" s="3">
        <f>A17 +7</f>
        <v>45569</v>
      </c>
      <c r="B19" s="8" t="s">
        <v>22</v>
      </c>
      <c r="C19" s="9" t="s">
        <v>47</v>
      </c>
      <c r="D19" s="9"/>
      <c r="E19" s="9" t="s">
        <v>48</v>
      </c>
      <c r="F19" s="17" t="s">
        <v>51</v>
      </c>
      <c r="G19" s="7"/>
      <c r="H19" s="1"/>
      <c r="I19" s="1"/>
      <c r="J19" s="1"/>
    </row>
    <row r="20" ht="36" customHeight="1">
      <c r="A20" s="3">
        <f>A18 + 7</f>
        <v>45573</v>
      </c>
      <c r="B20" s="4" t="s">
        <v>29</v>
      </c>
      <c r="C20" s="5" t="s">
        <v>30</v>
      </c>
      <c r="D20" s="5"/>
      <c r="E20" s="5" t="s">
        <v>32</v>
      </c>
      <c r="F20" s="17" t="s">
        <v>51</v>
      </c>
    </row>
    <row r="21" ht="36" customHeight="1">
      <c r="A21" s="3">
        <f>A19 +7</f>
        <v>45576</v>
      </c>
      <c r="B21" s="4" t="s">
        <v>29</v>
      </c>
      <c r="C21" s="5" t="s">
        <v>30</v>
      </c>
      <c r="D21" s="5"/>
      <c r="E21" s="5" t="s">
        <v>31</v>
      </c>
      <c r="F21" s="17" t="s">
        <v>51</v>
      </c>
    </row>
    <row r="22" ht="36" customHeight="1">
      <c r="A22" s="3">
        <f>A20 + 7</f>
        <v>45580</v>
      </c>
      <c r="B22" s="4" t="s">
        <v>52</v>
      </c>
      <c r="C22" s="5" t="s">
        <v>39</v>
      </c>
      <c r="D22" s="5"/>
      <c r="E22" s="5" t="s">
        <v>53</v>
      </c>
      <c r="G22" s="7"/>
      <c r="H22" s="1"/>
      <c r="I22" s="1"/>
      <c r="J22" s="1"/>
    </row>
    <row r="23" ht="36" customHeight="1">
      <c r="A23" s="3">
        <f>A21 +7</f>
        <v>45583</v>
      </c>
      <c r="B23" s="8" t="s">
        <v>29</v>
      </c>
      <c r="C23" s="9" t="s">
        <v>33</v>
      </c>
      <c r="D23" s="9"/>
      <c r="E23" s="9" t="s">
        <v>34</v>
      </c>
      <c r="F23" s="17" t="s">
        <v>51</v>
      </c>
    </row>
    <row r="24" ht="36" customHeight="1">
      <c r="A24" s="3">
        <f>A22 + 7</f>
        <v>45587</v>
      </c>
      <c r="B24" s="8" t="s">
        <v>29</v>
      </c>
      <c r="C24" s="9" t="s">
        <v>33</v>
      </c>
      <c r="D24" s="9"/>
      <c r="E24" s="9" t="s">
        <v>34</v>
      </c>
      <c r="F24" s="17" t="s">
        <v>51</v>
      </c>
      <c r="G24" s="7"/>
      <c r="H24" s="1"/>
      <c r="I24" s="1"/>
      <c r="J24" s="1"/>
    </row>
    <row r="25" ht="36" customHeight="1">
      <c r="A25" s="3">
        <f>A23 +7</f>
        <v>45590</v>
      </c>
      <c r="B25" s="8" t="s">
        <v>52</v>
      </c>
      <c r="C25" s="9" t="s">
        <v>39</v>
      </c>
      <c r="D25" s="9"/>
      <c r="E25" s="9" t="s">
        <v>54</v>
      </c>
      <c r="G25" s="7"/>
      <c r="H25" s="1"/>
      <c r="I25" s="1"/>
      <c r="J25" s="1"/>
    </row>
    <row r="26" ht="36" customHeight="1">
      <c r="A26" s="3">
        <f>A24 + 7</f>
        <v>45594</v>
      </c>
      <c r="B26" s="8" t="s">
        <v>52</v>
      </c>
      <c r="C26" s="9" t="s">
        <v>39</v>
      </c>
      <c r="D26" s="9"/>
      <c r="E26" s="9" t="s">
        <v>54</v>
      </c>
      <c r="G26" s="7"/>
      <c r="H26" s="1"/>
      <c r="I26" s="1"/>
      <c r="J26" s="1"/>
    </row>
    <row r="27" ht="36" customHeight="1">
      <c r="A27" s="3">
        <f>A25 +7</f>
        <v>45597</v>
      </c>
      <c r="B27" s="4" t="s">
        <v>38</v>
      </c>
      <c r="C27" s="5" t="s">
        <v>39</v>
      </c>
      <c r="D27" s="5"/>
      <c r="E27" s="5" t="s">
        <v>50</v>
      </c>
      <c r="G27" s="7"/>
      <c r="H27" s="1"/>
      <c r="I27" s="1"/>
      <c r="J27" s="1"/>
    </row>
    <row r="28" ht="36" customHeight="1">
      <c r="A28" s="3">
        <f>A26 + 7</f>
        <v>45601</v>
      </c>
      <c r="B28" s="4" t="s">
        <v>38</v>
      </c>
      <c r="C28" s="5" t="s">
        <v>39</v>
      </c>
      <c r="D28" s="5"/>
      <c r="E28" s="5" t="s">
        <v>50</v>
      </c>
    </row>
    <row r="29" ht="36" customHeight="1">
      <c r="A29" s="3">
        <f>A27 +7</f>
        <v>45604</v>
      </c>
      <c r="B29" s="15" t="s">
        <v>35</v>
      </c>
      <c r="C29" s="15" t="s">
        <v>35</v>
      </c>
      <c r="D29" s="15" t="s">
        <v>35</v>
      </c>
      <c r="E29" s="15" t="s">
        <v>35</v>
      </c>
    </row>
    <row r="30" ht="36" customHeight="1">
      <c r="A30" s="3">
        <f>A28 + 7</f>
        <v>45608</v>
      </c>
      <c r="B30" s="15" t="s">
        <v>35</v>
      </c>
      <c r="C30" s="15" t="s">
        <v>35</v>
      </c>
      <c r="D30" s="15" t="s">
        <v>35</v>
      </c>
      <c r="E30" s="15" t="s">
        <v>35</v>
      </c>
    </row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10" workbookViewId="0">
      <selection activeCell="F17" activeCellId="1" sqref="B17:E17 F17"/>
    </sheetView>
  </sheetViews>
  <sheetFormatPr defaultColWidth="8.6875" defaultRowHeight="15" customHeight="1"/>
  <cols>
    <col customWidth="1" min="1" max="1" style="1" width="16.120000000000001"/>
    <col customWidth="1" min="2" max="2" style="1" width="17.510000000000002"/>
    <col customWidth="1" min="3" max="4" style="1" width="30.140000000000001"/>
    <col customWidth="1" min="5" max="5" style="1" width="49.850000000000001"/>
    <col customWidth="1" min="6" max="6" style="1" width="26.289999999999999"/>
    <col customWidth="1" min="7" max="7" style="1" width="12.710000000000001"/>
  </cols>
  <sheetData>
    <row r="1" ht="36" customHeight="1">
      <c r="A1" s="2" t="s">
        <v>0</v>
      </c>
      <c r="B1" s="2" t="s">
        <v>1</v>
      </c>
      <c r="C1" s="2" t="s">
        <v>2</v>
      </c>
      <c r="D1" s="2"/>
      <c r="E1" s="2" t="s">
        <v>3</v>
      </c>
    </row>
    <row r="2" ht="36" customHeight="1">
      <c r="A2" s="3">
        <v>45510</v>
      </c>
      <c r="B2" s="4" t="s">
        <v>4</v>
      </c>
      <c r="C2" s="5" t="s">
        <v>5</v>
      </c>
      <c r="D2" s="5"/>
      <c r="E2" s="5" t="s">
        <v>6</v>
      </c>
      <c r="F2" s="17" t="s">
        <v>51</v>
      </c>
    </row>
    <row r="3" ht="36" customHeight="1">
      <c r="A3" s="3">
        <v>45513</v>
      </c>
      <c r="B3" s="4" t="s">
        <v>4</v>
      </c>
      <c r="C3" s="5" t="s">
        <v>5</v>
      </c>
      <c r="D3" s="5"/>
      <c r="E3" s="5" t="s">
        <v>7</v>
      </c>
      <c r="F3" s="17" t="s">
        <v>51</v>
      </c>
    </row>
    <row r="4" ht="36" customHeight="1">
      <c r="A4" s="3">
        <f>A2 + 7</f>
        <v>45517</v>
      </c>
      <c r="B4" s="4" t="s">
        <v>4</v>
      </c>
      <c r="C4" s="5" t="s">
        <v>5</v>
      </c>
      <c r="D4" s="5"/>
      <c r="E4" s="5" t="s">
        <v>9</v>
      </c>
      <c r="F4" s="17" t="s">
        <v>51</v>
      </c>
    </row>
    <row r="5" ht="36" customHeight="1">
      <c r="A5" s="3">
        <f>A3 +7</f>
        <v>45520</v>
      </c>
      <c r="B5" s="4" t="s">
        <v>4</v>
      </c>
      <c r="C5" s="5" t="s">
        <v>10</v>
      </c>
      <c r="D5" s="5"/>
      <c r="E5" s="5" t="s">
        <v>11</v>
      </c>
      <c r="F5" s="17" t="s">
        <v>51</v>
      </c>
    </row>
    <row r="6" ht="36" customHeight="1">
      <c r="A6" s="3">
        <f>A4 + 7</f>
        <v>45524</v>
      </c>
      <c r="B6" s="8" t="s">
        <v>12</v>
      </c>
      <c r="C6" s="9" t="s">
        <v>13</v>
      </c>
      <c r="D6" s="9"/>
      <c r="E6" s="9" t="s">
        <v>14</v>
      </c>
      <c r="F6" s="17" t="s">
        <v>51</v>
      </c>
      <c r="G6" s="7"/>
      <c r="H6" s="1"/>
      <c r="I6" s="1"/>
      <c r="J6" s="1"/>
    </row>
    <row r="7" ht="36" customHeight="1">
      <c r="A7" s="3">
        <f>A5 +7</f>
        <v>45527</v>
      </c>
      <c r="B7" s="8" t="s">
        <v>12</v>
      </c>
      <c r="C7" s="9" t="s">
        <v>15</v>
      </c>
      <c r="D7" s="9"/>
      <c r="E7" s="9" t="s">
        <v>16</v>
      </c>
      <c r="F7" s="17" t="s">
        <v>51</v>
      </c>
      <c r="G7" s="7"/>
      <c r="H7" s="1"/>
      <c r="I7" s="1"/>
      <c r="J7" s="1"/>
    </row>
    <row r="8" ht="36" customHeight="1">
      <c r="A8" s="3">
        <f>A6 + 7</f>
        <v>45531</v>
      </c>
      <c r="B8" s="8" t="s">
        <v>12</v>
      </c>
      <c r="C8" s="9" t="s">
        <v>15</v>
      </c>
      <c r="D8" s="9"/>
      <c r="E8" s="9" t="s">
        <v>16</v>
      </c>
      <c r="F8" s="17" t="s">
        <v>51</v>
      </c>
      <c r="G8" s="7"/>
      <c r="H8" s="1"/>
      <c r="I8" s="1"/>
      <c r="J8" s="1"/>
    </row>
    <row r="9" ht="36" customHeight="1">
      <c r="A9" s="3">
        <f>A7 +7</f>
        <v>45534</v>
      </c>
      <c r="B9" s="4" t="s">
        <v>12</v>
      </c>
      <c r="C9" s="5" t="s">
        <v>19</v>
      </c>
      <c r="D9" s="5"/>
      <c r="E9" s="5" t="s">
        <v>20</v>
      </c>
      <c r="F9" s="17" t="s">
        <v>51</v>
      </c>
    </row>
    <row r="10" ht="36" customHeight="1">
      <c r="A10" s="3">
        <f>A8 + 7</f>
        <v>45538</v>
      </c>
      <c r="B10" s="4" t="s">
        <v>12</v>
      </c>
      <c r="C10" s="5" t="s">
        <v>19</v>
      </c>
      <c r="D10" s="5"/>
      <c r="E10" s="5" t="s">
        <v>20</v>
      </c>
      <c r="F10" s="17" t="s">
        <v>51</v>
      </c>
    </row>
    <row r="11" ht="36" customHeight="1">
      <c r="A11" s="3">
        <f>A9 +7</f>
        <v>45541</v>
      </c>
      <c r="B11" s="8" t="s">
        <v>12</v>
      </c>
      <c r="C11" s="9" t="s">
        <v>17</v>
      </c>
      <c r="D11" s="9"/>
      <c r="E11" s="5" t="s">
        <v>18</v>
      </c>
      <c r="F11" s="17" t="s">
        <v>51</v>
      </c>
      <c r="G11" s="7"/>
      <c r="H11" s="1"/>
      <c r="I11" s="1"/>
      <c r="J11" s="1"/>
    </row>
    <row r="12" ht="36" customHeight="1">
      <c r="A12" s="3">
        <f>A10 + 7</f>
        <v>45545</v>
      </c>
      <c r="B12" s="4" t="s">
        <v>22</v>
      </c>
      <c r="C12" s="5" t="s">
        <v>23</v>
      </c>
      <c r="D12" s="5"/>
      <c r="E12" s="5" t="s">
        <v>24</v>
      </c>
      <c r="F12" s="19" t="s">
        <v>55</v>
      </c>
    </row>
    <row r="13" ht="54.950000000000003" customHeight="1">
      <c r="A13" s="3">
        <f>A11 +7</f>
        <v>45548</v>
      </c>
      <c r="B13" s="4" t="s">
        <v>22</v>
      </c>
      <c r="C13" s="5" t="s">
        <v>23</v>
      </c>
      <c r="D13" s="5"/>
      <c r="E13" s="5" t="s">
        <v>25</v>
      </c>
      <c r="F13" s="19" t="s">
        <v>55</v>
      </c>
    </row>
    <row r="14" ht="36" customHeight="1">
      <c r="A14" s="3">
        <f>A12 + 7</f>
        <v>45552</v>
      </c>
      <c r="B14" s="4" t="s">
        <v>38</v>
      </c>
      <c r="C14" s="5" t="s">
        <v>39</v>
      </c>
      <c r="D14" s="5"/>
      <c r="E14" s="5" t="s">
        <v>40</v>
      </c>
    </row>
    <row r="15" ht="36" customHeight="1">
      <c r="A15" s="3">
        <f>A13 +7</f>
        <v>45555</v>
      </c>
      <c r="B15" s="18" t="s">
        <v>21</v>
      </c>
      <c r="C15" s="15" t="s">
        <v>21</v>
      </c>
      <c r="D15" s="15" t="s">
        <v>21</v>
      </c>
      <c r="E15" s="15" t="s">
        <v>21</v>
      </c>
    </row>
    <row r="16" ht="36" customHeight="1">
      <c r="A16" s="3">
        <f>A14 + 7</f>
        <v>45559</v>
      </c>
      <c r="B16" s="18" t="s">
        <v>21</v>
      </c>
      <c r="C16" s="15" t="s">
        <v>21</v>
      </c>
      <c r="D16" s="15" t="s">
        <v>21</v>
      </c>
      <c r="E16" s="15" t="s">
        <v>21</v>
      </c>
    </row>
    <row r="17" ht="36" customHeight="1">
      <c r="A17" s="3">
        <f>A15 +7</f>
        <v>45562</v>
      </c>
      <c r="B17" s="20" t="s">
        <v>56</v>
      </c>
      <c r="C17" s="20"/>
      <c r="D17" s="20"/>
      <c r="E17" s="21" t="s">
        <v>57</v>
      </c>
      <c r="F17" s="19" t="s">
        <v>55</v>
      </c>
    </row>
    <row r="18" ht="36" customHeight="1">
      <c r="A18" s="3">
        <f>A16 + 7</f>
        <v>45566</v>
      </c>
      <c r="B18" s="8" t="s">
        <v>22</v>
      </c>
      <c r="C18" s="9" t="s">
        <v>26</v>
      </c>
      <c r="D18" s="9"/>
      <c r="E18" s="9" t="s">
        <v>27</v>
      </c>
      <c r="F18" s="22" t="s">
        <v>58</v>
      </c>
      <c r="G18" s="7"/>
      <c r="H18" s="1"/>
      <c r="I18" s="1"/>
      <c r="J18" s="1"/>
    </row>
    <row r="19" ht="36" customHeight="1">
      <c r="A19" s="3">
        <f>A17 +7</f>
        <v>45569</v>
      </c>
      <c r="B19" s="8" t="s">
        <v>22</v>
      </c>
      <c r="C19" s="9" t="s">
        <v>26</v>
      </c>
      <c r="D19" s="9"/>
      <c r="E19" s="9" t="s">
        <v>28</v>
      </c>
      <c r="F19" s="22" t="s">
        <v>58</v>
      </c>
      <c r="G19" s="7"/>
      <c r="H19" s="1"/>
      <c r="I19" s="1"/>
      <c r="J19" s="1"/>
    </row>
    <row r="20" ht="36" customHeight="1">
      <c r="A20" s="3">
        <f>A18 + 7</f>
        <v>45573</v>
      </c>
      <c r="B20" s="8" t="s">
        <v>22</v>
      </c>
      <c r="C20" s="9" t="s">
        <v>47</v>
      </c>
      <c r="D20" s="9"/>
      <c r="E20" s="9" t="s">
        <v>48</v>
      </c>
    </row>
    <row r="21" ht="36" customHeight="1">
      <c r="A21" s="3">
        <f>A19 +7</f>
        <v>45576</v>
      </c>
      <c r="B21" s="4" t="s">
        <v>29</v>
      </c>
      <c r="C21" s="5" t="s">
        <v>30</v>
      </c>
      <c r="D21" s="5"/>
      <c r="E21" s="5" t="s">
        <v>32</v>
      </c>
      <c r="F21" s="22" t="s">
        <v>58</v>
      </c>
    </row>
    <row r="22" ht="36" customHeight="1">
      <c r="A22" s="3">
        <f>A20 + 7</f>
        <v>45580</v>
      </c>
      <c r="B22" s="4" t="s">
        <v>29</v>
      </c>
      <c r="C22" s="5" t="s">
        <v>30</v>
      </c>
      <c r="D22" s="5"/>
      <c r="E22" s="5" t="s">
        <v>31</v>
      </c>
      <c r="F22" s="22" t="s">
        <v>58</v>
      </c>
      <c r="G22" s="7"/>
      <c r="H22" s="1"/>
      <c r="I22" s="1"/>
      <c r="J22" s="1"/>
    </row>
    <row r="23" ht="36" customHeight="1">
      <c r="A23" s="3">
        <f>A21 +7</f>
        <v>45583</v>
      </c>
      <c r="B23" s="4" t="s">
        <v>52</v>
      </c>
      <c r="C23" s="5" t="s">
        <v>39</v>
      </c>
      <c r="D23" s="5"/>
      <c r="E23" s="5" t="s">
        <v>53</v>
      </c>
    </row>
    <row r="24" ht="36" customHeight="1">
      <c r="A24" s="3">
        <f>A22 + 7</f>
        <v>45587</v>
      </c>
      <c r="B24" s="8" t="s">
        <v>29</v>
      </c>
      <c r="C24" s="9" t="s">
        <v>33</v>
      </c>
      <c r="D24" s="9"/>
      <c r="E24" s="9" t="s">
        <v>34</v>
      </c>
      <c r="F24" s="22" t="s">
        <v>58</v>
      </c>
      <c r="G24" s="7"/>
      <c r="H24" s="1"/>
      <c r="I24" s="1"/>
      <c r="J24" s="1"/>
    </row>
    <row r="25" ht="36" customHeight="1">
      <c r="A25" s="3">
        <f>A23 +7</f>
        <v>45590</v>
      </c>
      <c r="B25" s="8" t="s">
        <v>29</v>
      </c>
      <c r="C25" s="9" t="s">
        <v>33</v>
      </c>
      <c r="D25" s="9"/>
      <c r="E25" s="9" t="s">
        <v>34</v>
      </c>
      <c r="F25" s="22" t="s">
        <v>58</v>
      </c>
      <c r="G25" s="7"/>
      <c r="H25" s="1"/>
      <c r="I25" s="1"/>
      <c r="J25" s="1"/>
    </row>
    <row r="26" ht="36" customHeight="1">
      <c r="A26" s="3">
        <f>A24 + 7</f>
        <v>45594</v>
      </c>
      <c r="B26" s="8" t="s">
        <v>52</v>
      </c>
      <c r="C26" s="9" t="s">
        <v>39</v>
      </c>
      <c r="D26" s="9"/>
      <c r="E26" s="9" t="s">
        <v>54</v>
      </c>
      <c r="G26" s="7"/>
      <c r="H26" s="1"/>
      <c r="I26" s="1"/>
      <c r="J26" s="1"/>
    </row>
    <row r="27" ht="36" customHeight="1">
      <c r="A27" s="3">
        <f>A25 +7</f>
        <v>45597</v>
      </c>
      <c r="B27" s="8" t="s">
        <v>52</v>
      </c>
      <c r="C27" s="9" t="s">
        <v>39</v>
      </c>
      <c r="D27" s="9"/>
      <c r="E27" s="9" t="s">
        <v>54</v>
      </c>
      <c r="G27" s="7"/>
      <c r="H27" s="1"/>
      <c r="I27" s="1"/>
      <c r="J27" s="1"/>
    </row>
    <row r="28" ht="36" customHeight="1">
      <c r="A28" s="3">
        <f>A26 + 7</f>
        <v>45601</v>
      </c>
      <c r="B28" s="4" t="s">
        <v>38</v>
      </c>
      <c r="C28" s="5" t="s">
        <v>39</v>
      </c>
      <c r="D28" s="5"/>
      <c r="E28" s="5" t="s">
        <v>50</v>
      </c>
    </row>
    <row r="29" ht="36" customHeight="1">
      <c r="A29" s="3">
        <f>A27 +7</f>
        <v>45604</v>
      </c>
      <c r="B29" s="15" t="s">
        <v>35</v>
      </c>
      <c r="C29" s="15" t="s">
        <v>35</v>
      </c>
      <c r="D29" s="15" t="s">
        <v>35</v>
      </c>
      <c r="E29" s="15" t="s">
        <v>35</v>
      </c>
    </row>
    <row r="30" ht="36" customHeight="1">
      <c r="A30" s="3">
        <f>A28 + 7</f>
        <v>45608</v>
      </c>
      <c r="B30" s="15" t="s">
        <v>35</v>
      </c>
      <c r="C30" s="15" t="s">
        <v>35</v>
      </c>
      <c r="D30" s="15" t="s">
        <v>35</v>
      </c>
      <c r="E30" s="15" t="s">
        <v>35</v>
      </c>
    </row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10" workbookViewId="0">
      <selection activeCell="A1" activeCellId="1" sqref="B17:E17 A1"/>
    </sheetView>
  </sheetViews>
  <sheetFormatPr defaultColWidth="8.6875" defaultRowHeight="15" customHeight="1"/>
  <cols>
    <col customWidth="1" min="1" max="2" style="1" width="11.43"/>
    <col customWidth="1" min="3" max="4" style="1" width="30.140000000000001"/>
    <col customWidth="1" min="5" max="5" style="1" width="49.850000000000001"/>
    <col customWidth="1" min="7" max="7" style="1" width="12.710000000000001"/>
  </cols>
  <sheetData>
    <row r="1" ht="15">
      <c r="A1" s="23" t="s">
        <v>0</v>
      </c>
      <c r="B1" s="23" t="s">
        <v>1</v>
      </c>
      <c r="C1" s="23" t="s">
        <v>2</v>
      </c>
      <c r="E1" s="23" t="s">
        <v>3</v>
      </c>
    </row>
    <row r="2" ht="28.350000000000001">
      <c r="A2" s="7">
        <v>45327</v>
      </c>
      <c r="B2" s="24" t="s">
        <v>4</v>
      </c>
      <c r="C2" s="23" t="s">
        <v>5</v>
      </c>
      <c r="E2" s="23" t="s">
        <v>59</v>
      </c>
    </row>
    <row r="3" ht="28.350000000000001">
      <c r="A3" s="7">
        <v>45331</v>
      </c>
      <c r="B3" s="24" t="s">
        <v>4</v>
      </c>
      <c r="C3" s="23" t="s">
        <v>10</v>
      </c>
      <c r="E3" s="23" t="s">
        <v>60</v>
      </c>
    </row>
    <row r="4" ht="15">
      <c r="A4" s="25">
        <f>A2 + 7</f>
        <v>45334</v>
      </c>
      <c r="B4" s="26" t="s">
        <v>61</v>
      </c>
      <c r="C4" s="26" t="s">
        <v>61</v>
      </c>
      <c r="D4" s="26" t="s">
        <v>61</v>
      </c>
      <c r="E4" s="27"/>
    </row>
    <row r="5" ht="41.75">
      <c r="A5" s="7">
        <f>A3 +7</f>
        <v>45338</v>
      </c>
      <c r="B5" s="24" t="s">
        <v>12</v>
      </c>
      <c r="C5" s="23" t="s">
        <v>13</v>
      </c>
      <c r="E5" s="23" t="s">
        <v>62</v>
      </c>
    </row>
    <row r="6" ht="41.75">
      <c r="A6" s="7">
        <f>A4 + 7</f>
        <v>45341</v>
      </c>
      <c r="B6" s="24" t="s">
        <v>12</v>
      </c>
      <c r="C6" s="23" t="s">
        <v>15</v>
      </c>
      <c r="E6" s="23" t="s">
        <v>63</v>
      </c>
    </row>
    <row r="7" ht="41.75">
      <c r="A7" s="7">
        <f>A5 +7</f>
        <v>45345</v>
      </c>
      <c r="B7" s="24" t="s">
        <v>12</v>
      </c>
      <c r="C7" s="23" t="s">
        <v>39</v>
      </c>
      <c r="E7" s="23" t="s">
        <v>64</v>
      </c>
    </row>
    <row r="8" ht="41.75">
      <c r="A8" s="7">
        <f>A6 + 7</f>
        <v>45348</v>
      </c>
      <c r="B8" s="24" t="s">
        <v>12</v>
      </c>
      <c r="C8" s="23" t="s">
        <v>19</v>
      </c>
      <c r="E8" s="23" t="s">
        <v>63</v>
      </c>
    </row>
    <row r="9" ht="41.75">
      <c r="A9" s="7">
        <f>A7 +7</f>
        <v>45352</v>
      </c>
      <c r="B9" s="24" t="s">
        <v>12</v>
      </c>
      <c r="C9" s="23" t="s">
        <v>39</v>
      </c>
      <c r="E9" s="23" t="s">
        <v>63</v>
      </c>
    </row>
    <row r="10" ht="41.75">
      <c r="A10" s="7">
        <f>A8 + 7</f>
        <v>45355</v>
      </c>
      <c r="B10" s="24" t="s">
        <v>12</v>
      </c>
      <c r="C10" s="23" t="s">
        <v>65</v>
      </c>
      <c r="E10" s="23" t="s">
        <v>63</v>
      </c>
    </row>
    <row r="11" ht="41.75">
      <c r="A11" s="7">
        <f>A9 +7</f>
        <v>45359</v>
      </c>
      <c r="B11" s="24" t="s">
        <v>12</v>
      </c>
      <c r="C11" s="23" t="s">
        <v>39</v>
      </c>
      <c r="E11" s="23" t="s">
        <v>63</v>
      </c>
    </row>
    <row r="12" ht="55.200000000000003">
      <c r="A12" s="7">
        <f>A10 + 7</f>
        <v>45362</v>
      </c>
      <c r="B12" s="24" t="s">
        <v>22</v>
      </c>
      <c r="C12" s="23" t="s">
        <v>23</v>
      </c>
      <c r="E12" s="23" t="s">
        <v>66</v>
      </c>
    </row>
    <row r="13" ht="15">
      <c r="A13" s="7">
        <f>A11 +7</f>
        <v>45366</v>
      </c>
      <c r="B13" s="24" t="s">
        <v>52</v>
      </c>
      <c r="C13" s="23" t="s">
        <v>39</v>
      </c>
      <c r="E13" s="23" t="s">
        <v>64</v>
      </c>
    </row>
    <row r="14" ht="50.700000000000003" customHeight="1">
      <c r="A14" s="7">
        <f>A12 + 7</f>
        <v>45369</v>
      </c>
      <c r="B14" s="23" t="s">
        <v>67</v>
      </c>
      <c r="C14" s="23" t="s">
        <v>68</v>
      </c>
      <c r="E14" s="23" t="s">
        <v>68</v>
      </c>
    </row>
    <row r="15" ht="15">
      <c r="A15" s="7">
        <f>A13 +7</f>
        <v>45373</v>
      </c>
      <c r="B15" s="26" t="s">
        <v>21</v>
      </c>
      <c r="C15" s="28" t="s">
        <v>21</v>
      </c>
      <c r="D15" s="28" t="s">
        <v>21</v>
      </c>
      <c r="E15" s="28" t="s">
        <v>21</v>
      </c>
    </row>
    <row r="16" ht="40.25" customHeight="1">
      <c r="A16" s="7">
        <f>A14 + 7</f>
        <v>45376</v>
      </c>
      <c r="B16" s="26" t="s">
        <v>21</v>
      </c>
      <c r="C16" s="28" t="s">
        <v>21</v>
      </c>
      <c r="D16" s="28" t="s">
        <v>21</v>
      </c>
      <c r="E16" s="28" t="s">
        <v>21</v>
      </c>
    </row>
    <row r="17" ht="15">
      <c r="A17" s="25">
        <f>A15 +7</f>
        <v>45380</v>
      </c>
      <c r="B17" s="26" t="s">
        <v>61</v>
      </c>
      <c r="C17" s="28" t="s">
        <v>61</v>
      </c>
      <c r="D17" s="26" t="s">
        <v>61</v>
      </c>
      <c r="E17" s="26" t="s">
        <v>61</v>
      </c>
      <c r="I17" s="7"/>
    </row>
    <row r="18" ht="55.200000000000003">
      <c r="A18" s="7">
        <f>A16 + 7</f>
        <v>45383</v>
      </c>
      <c r="B18" s="24" t="s">
        <v>22</v>
      </c>
      <c r="C18" s="23" t="s">
        <v>23</v>
      </c>
      <c r="E18" s="23" t="s">
        <v>66</v>
      </c>
    </row>
    <row r="19" ht="15">
      <c r="A19" s="7">
        <f>A17 +7</f>
        <v>45387</v>
      </c>
      <c r="B19" s="24" t="s">
        <v>52</v>
      </c>
      <c r="C19" s="23" t="s">
        <v>39</v>
      </c>
      <c r="E19" s="23" t="s">
        <v>64</v>
      </c>
      <c r="I19" s="7"/>
    </row>
    <row r="20" ht="55.200000000000003">
      <c r="A20" s="7">
        <f>A18 + 7</f>
        <v>45390</v>
      </c>
      <c r="B20" s="24" t="s">
        <v>22</v>
      </c>
      <c r="C20" s="23" t="s">
        <v>26</v>
      </c>
      <c r="E20" s="23" t="s">
        <v>69</v>
      </c>
    </row>
    <row r="21" ht="15">
      <c r="A21" s="7">
        <f>A19 +7</f>
        <v>45394</v>
      </c>
      <c r="B21" s="24" t="s">
        <v>52</v>
      </c>
      <c r="C21" s="23" t="s">
        <v>39</v>
      </c>
      <c r="E21" s="23" t="s">
        <v>64</v>
      </c>
    </row>
    <row r="22" ht="55.200000000000003">
      <c r="A22" s="7">
        <f>A20 + 7</f>
        <v>45397</v>
      </c>
      <c r="B22" s="24" t="s">
        <v>22</v>
      </c>
      <c r="C22" s="23" t="s">
        <v>47</v>
      </c>
      <c r="E22" s="23" t="s">
        <v>70</v>
      </c>
    </row>
    <row r="23" ht="15">
      <c r="A23" s="7">
        <f>A21 +7</f>
        <v>45401</v>
      </c>
      <c r="B23" s="24" t="s">
        <v>52</v>
      </c>
      <c r="C23" s="23" t="s">
        <v>39</v>
      </c>
      <c r="E23" s="23" t="s">
        <v>64</v>
      </c>
    </row>
    <row r="24" ht="15">
      <c r="A24" s="7">
        <f>A22 + 7</f>
        <v>45404</v>
      </c>
      <c r="B24" s="24" t="s">
        <v>29</v>
      </c>
      <c r="C24" s="23" t="s">
        <v>30</v>
      </c>
      <c r="E24" s="23" t="s">
        <v>71</v>
      </c>
      <c r="I24" s="7"/>
    </row>
    <row r="25" ht="15">
      <c r="A25" s="7">
        <f>A23 +7</f>
        <v>45408</v>
      </c>
      <c r="B25" s="24" t="s">
        <v>52</v>
      </c>
      <c r="C25" s="23" t="s">
        <v>39</v>
      </c>
      <c r="E25" s="23" t="s">
        <v>64</v>
      </c>
    </row>
    <row r="26" ht="28.350000000000001">
      <c r="A26" s="7">
        <f>A24 + 7</f>
        <v>45411</v>
      </c>
      <c r="B26" s="24" t="s">
        <v>29</v>
      </c>
      <c r="C26" s="23" t="s">
        <v>33</v>
      </c>
      <c r="E26" s="23" t="s">
        <v>72</v>
      </c>
    </row>
    <row r="27" ht="15">
      <c r="A27" s="7">
        <f>A25 +7</f>
        <v>45415</v>
      </c>
      <c r="B27" s="24" t="s">
        <v>52</v>
      </c>
      <c r="C27" s="23" t="s">
        <v>39</v>
      </c>
      <c r="E27" s="23" t="s">
        <v>64</v>
      </c>
    </row>
    <row r="28" ht="15">
      <c r="A28" s="7">
        <f>A26 + 7</f>
        <v>45418</v>
      </c>
      <c r="B28" s="24" t="s">
        <v>52</v>
      </c>
      <c r="C28" s="23" t="s">
        <v>39</v>
      </c>
      <c r="E28" s="23" t="s">
        <v>64</v>
      </c>
    </row>
    <row r="29" ht="15">
      <c r="A29" s="25">
        <f>A27 +7</f>
        <v>45422</v>
      </c>
      <c r="B29" s="28" t="s">
        <v>35</v>
      </c>
      <c r="C29" s="28" t="s">
        <v>35</v>
      </c>
      <c r="D29" s="28" t="s">
        <v>35</v>
      </c>
      <c r="E29" s="28" t="s">
        <v>35</v>
      </c>
    </row>
    <row r="30" ht="15">
      <c r="A30" s="25">
        <f>A28 + 7</f>
        <v>45425</v>
      </c>
      <c r="B30" s="28" t="s">
        <v>35</v>
      </c>
      <c r="C30" s="28" t="s">
        <v>35</v>
      </c>
      <c r="D30" s="28" t="s">
        <v>35</v>
      </c>
      <c r="E30" s="28" t="s">
        <v>35</v>
      </c>
    </row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10" workbookViewId="0">
      <selection activeCell="A1" activeCellId="1" sqref="B17:E17 A1"/>
    </sheetView>
  </sheetViews>
  <sheetFormatPr defaultColWidth="8.6875" defaultRowHeight="15" customHeight="1"/>
  <cols>
    <col customWidth="1" min="1" max="2" style="1" width="11.43"/>
    <col customWidth="1" min="3" max="3" style="1" width="30.140000000000001"/>
    <col customWidth="1" min="4" max="4" style="1" width="17.710000000000001"/>
    <col customWidth="1" min="6" max="6" style="1" width="12.710000000000001"/>
  </cols>
  <sheetData>
    <row r="1" ht="15">
      <c r="A1" s="1" t="s">
        <v>0</v>
      </c>
      <c r="B1" s="1" t="s">
        <v>1</v>
      </c>
      <c r="C1" s="23" t="s">
        <v>2</v>
      </c>
      <c r="D1" s="23" t="s">
        <v>3</v>
      </c>
    </row>
    <row r="2" ht="15">
      <c r="A2" s="29">
        <v>45152</v>
      </c>
      <c r="B2" s="29" t="s">
        <v>4</v>
      </c>
      <c r="C2" s="1" t="s">
        <v>5</v>
      </c>
    </row>
    <row r="3" ht="15">
      <c r="A3" s="29">
        <v>45156</v>
      </c>
      <c r="B3" s="29" t="s">
        <v>4</v>
      </c>
      <c r="C3" s="1" t="s">
        <v>5</v>
      </c>
    </row>
    <row r="4" s="27" customFormat="1" ht="15">
      <c r="A4" s="29">
        <f>A2 + 7</f>
        <v>45159</v>
      </c>
      <c r="B4" s="29" t="s">
        <v>4</v>
      </c>
      <c r="C4" s="1" t="s">
        <v>5</v>
      </c>
      <c r="D4" s="1"/>
      <c r="E4" s="1"/>
      <c r="F4" s="1"/>
      <c r="G4" s="1"/>
      <c r="H4" s="1"/>
    </row>
    <row r="5" ht="15">
      <c r="A5" s="29">
        <f>A3 +7</f>
        <v>45163</v>
      </c>
      <c r="B5" s="29" t="s">
        <v>4</v>
      </c>
      <c r="C5" s="1" t="s">
        <v>10</v>
      </c>
      <c r="D5" s="1" t="s">
        <v>60</v>
      </c>
    </row>
    <row r="6" ht="15">
      <c r="A6" s="29">
        <f>A4 + 7</f>
        <v>45166</v>
      </c>
      <c r="B6" s="29" t="s">
        <v>22</v>
      </c>
      <c r="C6" s="1" t="s">
        <v>23</v>
      </c>
      <c r="D6" s="1" t="s">
        <v>66</v>
      </c>
    </row>
    <row r="7" ht="15">
      <c r="A7" s="29">
        <f>A5 +7</f>
        <v>45170</v>
      </c>
      <c r="B7" s="29" t="s">
        <v>22</v>
      </c>
      <c r="C7" s="1" t="s">
        <v>26</v>
      </c>
      <c r="D7" s="1" t="s">
        <v>69</v>
      </c>
    </row>
    <row r="8" ht="15">
      <c r="A8" s="29">
        <f>A6 + 7</f>
        <v>45173</v>
      </c>
      <c r="B8" s="29" t="s">
        <v>22</v>
      </c>
      <c r="C8" s="1" t="s">
        <v>47</v>
      </c>
      <c r="D8" s="1" t="s">
        <v>70</v>
      </c>
      <c r="E8" s="1"/>
      <c r="G8" s="1"/>
      <c r="H8" s="1"/>
    </row>
    <row r="9" ht="15">
      <c r="A9" s="25">
        <f>A7 +7</f>
        <v>45177</v>
      </c>
      <c r="B9" s="25"/>
      <c r="C9" s="27" t="s">
        <v>49</v>
      </c>
      <c r="D9" s="27"/>
      <c r="E9" s="27"/>
      <c r="F9" s="27"/>
      <c r="G9" s="27"/>
      <c r="H9" s="27"/>
    </row>
    <row r="10" ht="15">
      <c r="A10" s="7">
        <f>A8 + 7</f>
        <v>45180</v>
      </c>
      <c r="B10" s="7" t="s">
        <v>29</v>
      </c>
      <c r="C10" s="1" t="s">
        <v>30</v>
      </c>
      <c r="D10" s="1" t="s">
        <v>71</v>
      </c>
    </row>
    <row r="11" ht="15">
      <c r="A11" s="7">
        <f>A9 +7</f>
        <v>45184</v>
      </c>
      <c r="B11" s="7" t="s">
        <v>29</v>
      </c>
      <c r="C11" s="1" t="s">
        <v>33</v>
      </c>
      <c r="D11" s="1" t="s">
        <v>72</v>
      </c>
    </row>
    <row r="12" ht="15">
      <c r="A12" s="7">
        <f>A10 + 7</f>
        <v>45187</v>
      </c>
      <c r="B12" s="30" t="s">
        <v>29</v>
      </c>
      <c r="C12" s="19" t="s">
        <v>73</v>
      </c>
    </row>
    <row r="13" ht="15">
      <c r="A13" s="7">
        <f>A11 +7</f>
        <v>45191</v>
      </c>
      <c r="B13" s="31"/>
      <c r="C13" s="32" t="s">
        <v>21</v>
      </c>
    </row>
    <row r="14" ht="15">
      <c r="A14" s="7">
        <f>A12 + 7</f>
        <v>45194</v>
      </c>
      <c r="B14" s="31"/>
      <c r="C14" s="32" t="s">
        <v>21</v>
      </c>
    </row>
    <row r="15" ht="15">
      <c r="A15" s="7">
        <f>A13 +7</f>
        <v>45198</v>
      </c>
      <c r="B15" s="7" t="s">
        <v>74</v>
      </c>
      <c r="C15" s="1" t="s">
        <v>75</v>
      </c>
      <c r="D15" s="1" t="s">
        <v>76</v>
      </c>
      <c r="E15" s="1"/>
      <c r="G15" s="1"/>
      <c r="H15" s="1"/>
    </row>
    <row r="16" ht="15">
      <c r="A16" s="7">
        <f>A14 + 7</f>
        <v>45201</v>
      </c>
      <c r="B16" s="30" t="s">
        <v>74</v>
      </c>
      <c r="C16" s="19" t="s">
        <v>77</v>
      </c>
    </row>
    <row r="17" ht="15">
      <c r="A17" s="7">
        <f>A15 +7</f>
        <v>45205</v>
      </c>
      <c r="B17" s="7" t="s">
        <v>78</v>
      </c>
      <c r="C17" s="1" t="s">
        <v>79</v>
      </c>
    </row>
    <row r="18" ht="15">
      <c r="A18" s="7">
        <f>A16 + 7</f>
        <v>45208</v>
      </c>
      <c r="B18" s="1" t="s">
        <v>78</v>
      </c>
      <c r="C18" s="1" t="s">
        <v>80</v>
      </c>
    </row>
    <row r="19" ht="15">
      <c r="A19" s="25">
        <f>A17 +7</f>
        <v>45212</v>
      </c>
      <c r="B19" s="25"/>
      <c r="C19" s="27" t="s">
        <v>49</v>
      </c>
      <c r="D19" s="27"/>
      <c r="E19" s="27"/>
      <c r="F19" s="27"/>
      <c r="G19" s="27"/>
      <c r="H19" s="27"/>
    </row>
    <row r="20" ht="15">
      <c r="A20" s="7">
        <f>A18 + 7</f>
        <v>45215</v>
      </c>
      <c r="B20" s="1" t="s">
        <v>81</v>
      </c>
      <c r="C20" s="1" t="s">
        <v>82</v>
      </c>
    </row>
    <row r="21" ht="15">
      <c r="A21" s="7">
        <f>A19 +7</f>
        <v>45219</v>
      </c>
      <c r="B21" s="7" t="s">
        <v>83</v>
      </c>
      <c r="C21" s="1" t="s">
        <v>65</v>
      </c>
      <c r="E21" s="1"/>
      <c r="G21" s="1"/>
      <c r="H21" s="1"/>
    </row>
    <row r="22" ht="15">
      <c r="A22" s="7">
        <f>A20 + 7</f>
        <v>45222</v>
      </c>
      <c r="B22" s="7" t="s">
        <v>83</v>
      </c>
      <c r="C22" s="1" t="s">
        <v>84</v>
      </c>
    </row>
    <row r="23" ht="15">
      <c r="A23" s="7">
        <f>A21 +7</f>
        <v>45226</v>
      </c>
      <c r="B23" s="7" t="s">
        <v>85</v>
      </c>
      <c r="C23" s="1" t="s">
        <v>86</v>
      </c>
    </row>
    <row r="24" ht="15">
      <c r="A24" s="7">
        <f>A22 + 7</f>
        <v>45229</v>
      </c>
      <c r="B24" s="7" t="s">
        <v>87</v>
      </c>
      <c r="C24" s="1" t="s">
        <v>88</v>
      </c>
    </row>
    <row r="25" ht="15">
      <c r="A25" s="25">
        <f>A23 +7</f>
        <v>45233</v>
      </c>
      <c r="B25" s="25"/>
      <c r="C25" s="27" t="s">
        <v>49</v>
      </c>
      <c r="D25" s="27"/>
      <c r="E25" s="27"/>
      <c r="F25" s="27"/>
      <c r="G25" s="27"/>
      <c r="H25" s="27"/>
    </row>
    <row r="26" ht="15">
      <c r="A26" s="7">
        <f>A24 + 7</f>
        <v>45236</v>
      </c>
      <c r="B26" s="7" t="s">
        <v>89</v>
      </c>
      <c r="C26" s="1" t="s">
        <v>90</v>
      </c>
    </row>
    <row r="27" ht="15">
      <c r="A27" s="31">
        <f>A25 +7</f>
        <v>45240</v>
      </c>
      <c r="B27" s="31"/>
      <c r="C27" s="32" t="s">
        <v>35</v>
      </c>
    </row>
    <row r="30" ht="15">
      <c r="F30" s="1" t="s">
        <v>91</v>
      </c>
    </row>
    <row r="31" ht="15">
      <c r="F31" s="1" t="s">
        <v>92</v>
      </c>
      <c r="G31" s="1">
        <v>17</v>
      </c>
      <c r="H31" s="1" t="s">
        <v>93</v>
      </c>
    </row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en-US</dc:language>
  <cp:revision>47</cp:revision>
  <dcterms:created xsi:type="dcterms:W3CDTF">2006-09-16T00:00:00Z</dcterms:created>
  <dcterms:modified xsi:type="dcterms:W3CDTF">2026-03-27T13:57:01Z</dcterms:modified>
</cp:coreProperties>
</file>